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使い方" sheetId="1" state="visible" r:id="rId1"/>
    <sheet name="チェック表" sheetId="2" state="visible" r:id="rId2"/>
    <sheet name="記入例" sheetId="3" state="visible" r:id="rId3"/>
  </sheets>
  <definedNames>
    <definedName name="_xlnm.Print_Area" localSheetId="1">'チェック表'!$A$1:$H$41</definedName>
    <definedName name="_xlnm.Print_Area" localSheetId="2">'記入例'!$A$1:$H$41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;[Red]-#,##0;&quot;&quot;"/>
    <numFmt numFmtId="166" formatCode="#,##0;[Red]-#,##0;0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000000"/>
      <sz val="16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color rgb="00595959"/>
      <sz val="9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2" borderId="1" pivotButton="0" quotePrefix="0" xfId="0"/>
    <xf numFmtId="0" fontId="6" fillId="0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166" fontId="5" fillId="0" borderId="1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金庫チェック表の使い方</t>
        </is>
      </c>
    </row>
    <row r="2">
      <c r="A2" s="2" t="inlineStr"/>
    </row>
    <row r="3">
      <c r="A3" s="2" t="inlineStr">
        <is>
          <t>1. 「チェック表」シートを印刷する(A4縦1枚)。記入例は「記入例」シート。</t>
        </is>
      </c>
    </row>
    <row r="4">
      <c r="A4" s="2" t="inlineStr">
        <is>
          <t>2. 釣銭準備金は100,000円で固定(2,000円札は使わないため欄なし)。</t>
        </is>
      </c>
    </row>
    <row r="5">
      <c r="A5" s="2" t="inlineStr">
        <is>
          <t>3. 週1回、決めた曜日・時刻に、担当者と確認者の2人で金庫を開けて数える。</t>
        </is>
      </c>
    </row>
    <row r="6">
      <c r="A6" s="2" t="inlineStr">
        <is>
          <t>4. 黄色の欄だけ記入する。白い欄は計算欄(Excelで入力すると自動計算、手書きなら電卓で計算)。</t>
        </is>
      </c>
    </row>
    <row r="7">
      <c r="A7" s="2" t="inlineStr">
        <is>
          <t>5. 差額が1円でもあれば「4. 差額があったとき」を書き、当日中に責任者へ報告する。</t>
        </is>
      </c>
    </row>
    <row r="8">
      <c r="A8" s="2" t="inlineStr">
        <is>
          <t>6. 記入した紙は責任者が押印し、ファイルに綴じて1年間保管する。</t>
        </is>
      </c>
    </row>
    <row r="9">
      <c r="A9" s="2" t="inlineStr"/>
    </row>
    <row r="10">
      <c r="A10" s="3" t="inlineStr">
        <is>
          <t>運用ルール(推奨)</t>
        </is>
      </c>
    </row>
    <row r="11">
      <c r="A11" s="2" t="inlineStr">
        <is>
          <t>・現場で受け取った売上金は、週1回のチェックを待たず受取から翌営業日までに銀行へ入金する。</t>
        </is>
      </c>
    </row>
    <row r="12">
      <c r="A12" s="2" t="inlineStr">
        <is>
          <t>・金庫から現金を出し入れするときは、封筒に日付・金額・名前を書いたメモを入れる。</t>
        </is>
      </c>
    </row>
    <row r="13">
      <c r="A13" s="2" t="inlineStr">
        <is>
          <t>・担当者は毎週同じ人にしない(交代制にすると、ミスや不正に気づきやすい)。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9" customWidth="1" min="7" max="7"/>
    <col width="13" customWidth="1" min="8" max="8"/>
  </cols>
  <sheetData>
    <row r="1" ht="30" customHeight="1">
      <c r="A1" s="4" t="inlineStr">
        <is>
          <t>金庫チェック表(週次)</t>
        </is>
      </c>
      <c r="B1" s="5" t="n"/>
      <c r="C1" s="5" t="n"/>
      <c r="D1" s="5" t="n"/>
      <c r="E1" s="5" t="n"/>
      <c r="F1" s="5" t="n"/>
      <c r="G1" s="5" t="n"/>
      <c r="H1" s="6" t="n"/>
    </row>
    <row r="3">
      <c r="A3" s="7" t="inlineStr">
        <is>
          <t>実施日</t>
        </is>
      </c>
      <c r="B3" s="8" t="n"/>
      <c r="C3" s="6" t="n"/>
      <c r="D3" s="7" t="inlineStr">
        <is>
          <t>実施時刻</t>
        </is>
      </c>
      <c r="E3" s="8" t="n"/>
      <c r="F3" s="7" t="inlineStr">
        <is>
          <t>前回実施日</t>
        </is>
      </c>
      <c r="G3" s="8" t="n"/>
      <c r="H3" s="6" t="n"/>
    </row>
    <row r="4" ht="28" customHeight="1">
      <c r="A4" s="9" t="inlineStr">
        <is>
          <t>担当者(数える人)</t>
        </is>
      </c>
      <c r="B4" s="8" t="n"/>
      <c r="C4" s="6" t="n"/>
      <c r="D4" s="9" t="inlineStr">
        <is>
          <t>確認者(立会い)</t>
        </is>
      </c>
      <c r="E4" s="8" t="n"/>
      <c r="F4" s="9" t="inlineStr">
        <is>
          <t>責任者印</t>
        </is>
      </c>
      <c r="G4" s="8" t="n"/>
      <c r="H4" s="6" t="n"/>
    </row>
    <row r="6">
      <c r="A6" s="10" t="inlineStr">
        <is>
          <t>1. 釣銭準備金(金種ごとに枚数を数えて記入)</t>
        </is>
      </c>
      <c r="B6" s="5" t="n"/>
      <c r="C6" s="5" t="n"/>
      <c r="D6" s="5" t="n"/>
      <c r="E6" s="5" t="n"/>
      <c r="F6" s="5" t="n"/>
      <c r="G6" s="5" t="n"/>
      <c r="H6" s="6" t="n"/>
    </row>
    <row r="7">
      <c r="A7" s="7" t="inlineStr">
        <is>
          <t>金種</t>
        </is>
      </c>
      <c r="B7" s="7" t="inlineStr">
        <is>
          <t>枚数</t>
        </is>
      </c>
      <c r="C7" s="7" t="inlineStr">
        <is>
          <t>金額(円)</t>
        </is>
      </c>
      <c r="E7" s="7" t="inlineStr">
        <is>
          <t>金種</t>
        </is>
      </c>
      <c r="F7" s="7" t="inlineStr">
        <is>
          <t>枚数</t>
        </is>
      </c>
      <c r="G7" s="7" t="inlineStr">
        <is>
          <t>金額(円)</t>
        </is>
      </c>
      <c r="H7" s="11" t="n"/>
    </row>
    <row r="8" ht="22" customHeight="1">
      <c r="A8" s="12" t="inlineStr">
        <is>
          <t>10,000円札</t>
        </is>
      </c>
      <c r="B8" s="13" t="n"/>
      <c r="C8" s="14">
        <f>10000*B8</f>
        <v/>
      </c>
      <c r="E8" s="12" t="inlineStr">
        <is>
          <t>50円玉</t>
        </is>
      </c>
      <c r="F8" s="13" t="n"/>
      <c r="G8" s="14">
        <f>50*F8</f>
        <v/>
      </c>
      <c r="H8" s="6" t="n"/>
    </row>
    <row r="9" ht="22" customHeight="1">
      <c r="A9" s="12" t="inlineStr">
        <is>
          <t>5,000円札</t>
        </is>
      </c>
      <c r="B9" s="13" t="n"/>
      <c r="C9" s="14">
        <f>5000*B9</f>
        <v/>
      </c>
      <c r="E9" s="12" t="inlineStr">
        <is>
          <t>10円玉</t>
        </is>
      </c>
      <c r="F9" s="13" t="n"/>
      <c r="G9" s="14">
        <f>10*F9</f>
        <v/>
      </c>
      <c r="H9" s="6" t="n"/>
    </row>
    <row r="10" ht="22" customHeight="1">
      <c r="A10" s="12" t="inlineStr">
        <is>
          <t>1,000円札</t>
        </is>
      </c>
      <c r="B10" s="13" t="n"/>
      <c r="C10" s="14">
        <f>1000*B10</f>
        <v/>
      </c>
      <c r="E10" s="12" t="inlineStr">
        <is>
          <t>5円玉</t>
        </is>
      </c>
      <c r="F10" s="13" t="n"/>
      <c r="G10" s="14">
        <f>5*F10</f>
        <v/>
      </c>
      <c r="H10" s="6" t="n"/>
    </row>
    <row r="11" ht="22" customHeight="1">
      <c r="A11" s="12" t="inlineStr">
        <is>
          <t>500円玉</t>
        </is>
      </c>
      <c r="B11" s="13" t="n"/>
      <c r="C11" s="14">
        <f>500*B11</f>
        <v/>
      </c>
      <c r="E11" s="12" t="inlineStr">
        <is>
          <t>1円玉</t>
        </is>
      </c>
      <c r="F11" s="13" t="n"/>
      <c r="G11" s="14">
        <f>1*F11</f>
        <v/>
      </c>
      <c r="H11" s="6" t="n"/>
    </row>
    <row r="12" ht="22" customHeight="1">
      <c r="A12" s="12" t="inlineStr">
        <is>
          <t>100円玉</t>
        </is>
      </c>
      <c r="B12" s="13" t="n"/>
      <c r="C12" s="14">
        <f>100*B12</f>
        <v/>
      </c>
    </row>
    <row r="14" ht="22" customHeight="1">
      <c r="A14" s="15" t="inlineStr">
        <is>
          <t>① 実際の合計</t>
        </is>
      </c>
      <c r="B14" s="5" t="n"/>
      <c r="C14" s="6" t="n"/>
      <c r="D14" s="16">
        <f>SUM(C8:C12)+SUM(G8:G12)</f>
        <v/>
      </c>
      <c r="E14" s="17" t="inlineStr">
        <is>
          <t>②は100,000円で固定。
③が0でなければ「4. 差額があったとき」を必ず記入。</t>
        </is>
      </c>
      <c r="F14" s="18" t="n"/>
      <c r="G14" s="18" t="n"/>
      <c r="H14" s="19" t="n"/>
    </row>
    <row r="15" ht="22" customHeight="1">
      <c r="A15" s="15" t="inlineStr">
        <is>
          <t>② 決められた準備金の額</t>
        </is>
      </c>
      <c r="B15" s="5" t="n"/>
      <c r="C15" s="6" t="n"/>
      <c r="D15" s="16" t="n">
        <v>100000</v>
      </c>
      <c r="E15" s="20" t="n"/>
      <c r="H15" s="21" t="n"/>
    </row>
    <row r="16" ht="22" customHeight="1">
      <c r="A16" s="15" t="inlineStr">
        <is>
          <t>③ 差額(①−②)</t>
        </is>
      </c>
      <c r="B16" s="5" t="n"/>
      <c r="C16" s="6" t="n"/>
      <c r="D16" s="22">
        <f>IF(COUNT(B8:B12,F8:F11)=0,"",D14-D15)</f>
        <v/>
      </c>
      <c r="E16" s="23" t="n"/>
      <c r="F16" s="24" t="n"/>
      <c r="G16" s="24" t="n"/>
      <c r="H16" s="25" t="n"/>
    </row>
    <row r="18">
      <c r="A18" s="10" t="inlineStr">
        <is>
          <t>2. 現場売上金・預かり金(金庫に入っている封筒を1件ずつ記入)</t>
        </is>
      </c>
      <c r="B18" s="5" t="n"/>
      <c r="C18" s="5" t="n"/>
      <c r="D18" s="5" t="n"/>
      <c r="E18" s="5" t="n"/>
      <c r="F18" s="5" t="n"/>
      <c r="G18" s="5" t="n"/>
      <c r="H18" s="6" t="n"/>
    </row>
    <row r="19" ht="28" customHeight="1">
      <c r="A19" s="26" t="inlineStr">
        <is>
          <t>案件名</t>
        </is>
      </c>
      <c r="B19" s="26" t="inlineStr">
        <is>
          <t>区分
売上/預り</t>
        </is>
      </c>
      <c r="C19" s="26" t="inlineStr">
        <is>
          <t>受取日</t>
        </is>
      </c>
      <c r="D19" s="26" t="inlineStr">
        <is>
          <t>帳簿の金額</t>
        </is>
      </c>
      <c r="E19" s="26" t="inlineStr">
        <is>
          <t>実際の金額</t>
        </is>
      </c>
      <c r="F19" s="26" t="inlineStr">
        <is>
          <t>差額</t>
        </is>
      </c>
      <c r="G19" s="26" t="inlineStr">
        <is>
          <t>銀行
入金済</t>
        </is>
      </c>
      <c r="H19" s="26" t="inlineStr">
        <is>
          <t>入金日/返却日</t>
        </is>
      </c>
    </row>
    <row r="20" ht="22" customHeight="1">
      <c r="A20" s="27" t="n"/>
      <c r="B20" s="28" t="n"/>
      <c r="C20" s="28" t="n"/>
      <c r="D20" s="29" t="n"/>
      <c r="E20" s="29" t="n"/>
      <c r="F20" s="30">
        <f>IF(OR(D20="",E20=""),"",E20-D20)</f>
        <v/>
      </c>
      <c r="G20" s="12" t="inlineStr">
        <is>
          <t>□</t>
        </is>
      </c>
      <c r="H20" s="28" t="n"/>
    </row>
    <row r="21" ht="22" customHeight="1">
      <c r="A21" s="27" t="n"/>
      <c r="B21" s="28" t="n"/>
      <c r="C21" s="28" t="n"/>
      <c r="D21" s="29" t="n"/>
      <c r="E21" s="29" t="n"/>
      <c r="F21" s="30">
        <f>IF(OR(D21="",E21=""),"",E21-D21)</f>
        <v/>
      </c>
      <c r="G21" s="12" t="inlineStr">
        <is>
          <t>□</t>
        </is>
      </c>
      <c r="H21" s="28" t="n"/>
    </row>
    <row r="22" ht="22" customHeight="1">
      <c r="A22" s="27" t="n"/>
      <c r="B22" s="28" t="n"/>
      <c r="C22" s="28" t="n"/>
      <c r="D22" s="29" t="n"/>
      <c r="E22" s="29" t="n"/>
      <c r="F22" s="30">
        <f>IF(OR(D22="",E22=""),"",E22-D22)</f>
        <v/>
      </c>
      <c r="G22" s="12" t="inlineStr">
        <is>
          <t>□</t>
        </is>
      </c>
      <c r="H22" s="28" t="n"/>
    </row>
    <row r="23" ht="22" customHeight="1">
      <c r="A23" s="27" t="n"/>
      <c r="B23" s="28" t="n"/>
      <c r="C23" s="28" t="n"/>
      <c r="D23" s="29" t="n"/>
      <c r="E23" s="29" t="n"/>
      <c r="F23" s="30">
        <f>IF(OR(D23="",E23=""),"",E23-D23)</f>
        <v/>
      </c>
      <c r="G23" s="12" t="inlineStr">
        <is>
          <t>□</t>
        </is>
      </c>
      <c r="H23" s="28" t="n"/>
    </row>
    <row r="24" ht="22" customHeight="1">
      <c r="A24" s="27" t="n"/>
      <c r="B24" s="28" t="n"/>
      <c r="C24" s="28" t="n"/>
      <c r="D24" s="29" t="n"/>
      <c r="E24" s="29" t="n"/>
      <c r="F24" s="30">
        <f>IF(OR(D24="",E24=""),"",E24-D24)</f>
        <v/>
      </c>
      <c r="G24" s="12" t="inlineStr">
        <is>
          <t>□</t>
        </is>
      </c>
      <c r="H24" s="28" t="n"/>
    </row>
    <row r="25" ht="22" customHeight="1">
      <c r="A25" s="27" t="n"/>
      <c r="B25" s="28" t="n"/>
      <c r="C25" s="28" t="n"/>
      <c r="D25" s="29" t="n"/>
      <c r="E25" s="29" t="n"/>
      <c r="F25" s="30">
        <f>IF(OR(D25="",E25=""),"",E25-D25)</f>
        <v/>
      </c>
      <c r="G25" s="12" t="inlineStr">
        <is>
          <t>□</t>
        </is>
      </c>
      <c r="H25" s="28" t="n"/>
    </row>
    <row r="26" ht="22" customHeight="1">
      <c r="A26" s="27" t="n"/>
      <c r="B26" s="28" t="n"/>
      <c r="C26" s="28" t="n"/>
      <c r="D26" s="29" t="n"/>
      <c r="E26" s="29" t="n"/>
      <c r="F26" s="30">
        <f>IF(OR(D26="",E26=""),"",E26-D26)</f>
        <v/>
      </c>
      <c r="G26" s="12" t="inlineStr">
        <is>
          <t>□</t>
        </is>
      </c>
      <c r="H26" s="28" t="n"/>
    </row>
    <row r="27" ht="22" customHeight="1">
      <c r="A27" s="27" t="n"/>
      <c r="B27" s="28" t="n"/>
      <c r="C27" s="28" t="n"/>
      <c r="D27" s="29" t="n"/>
      <c r="E27" s="29" t="n"/>
      <c r="F27" s="30">
        <f>IF(OR(D27="",E27=""),"",E27-D27)</f>
        <v/>
      </c>
      <c r="G27" s="12" t="inlineStr">
        <is>
          <t>□</t>
        </is>
      </c>
      <c r="H27" s="28" t="n"/>
    </row>
    <row r="28" ht="22" customHeight="1">
      <c r="A28" s="7" t="inlineStr">
        <is>
          <t>合計</t>
        </is>
      </c>
      <c r="B28" s="5" t="n"/>
      <c r="C28" s="6" t="n"/>
      <c r="D28" s="16">
        <f>SUM(D20:D27)</f>
        <v/>
      </c>
      <c r="E28" s="16">
        <f>SUM(E20:E27)</f>
        <v/>
      </c>
      <c r="F28" s="22">
        <f>IF(COUNT(E20:E27)=0,"",E28-D28)</f>
        <v/>
      </c>
      <c r="G28" s="31" t="n"/>
      <c r="H28" s="6" t="n"/>
    </row>
    <row r="30">
      <c r="A30" s="10" t="inlineStr">
        <is>
          <t>3. 確認項目(はい/いいえ に○)</t>
        </is>
      </c>
      <c r="B30" s="5" t="n"/>
      <c r="C30" s="5" t="n"/>
      <c r="D30" s="5" t="n"/>
      <c r="E30" s="5" t="n"/>
      <c r="F30" s="5" t="n"/>
      <c r="G30" s="5" t="n"/>
      <c r="H30" s="6" t="n"/>
    </row>
    <row r="31" ht="20" customHeight="1">
      <c r="A31" s="32" t="inlineStr">
        <is>
          <t>□ 受取日から7日以上たっている売上金はない(あれば今日入金する)</t>
        </is>
      </c>
      <c r="B31" s="5" t="n"/>
      <c r="C31" s="5" t="n"/>
      <c r="D31" s="5" t="n"/>
      <c r="E31" s="5" t="n"/>
      <c r="F31" s="6" t="n"/>
      <c r="G31" s="33" t="inlineStr">
        <is>
          <t>はい ・ いいえ</t>
        </is>
      </c>
      <c r="H31" s="6" t="n"/>
    </row>
    <row r="32" ht="20" customHeight="1">
      <c r="A32" s="32" t="inlineStr">
        <is>
          <t>□ 預かり金の返却・精算の期限を過ぎているものはない</t>
        </is>
      </c>
      <c r="B32" s="5" t="n"/>
      <c r="C32" s="5" t="n"/>
      <c r="D32" s="5" t="n"/>
      <c r="E32" s="5" t="n"/>
      <c r="F32" s="6" t="n"/>
      <c r="G32" s="33" t="inlineStr">
        <is>
          <t>はい ・ いいえ</t>
        </is>
      </c>
      <c r="H32" s="6" t="n"/>
    </row>
    <row r="33" ht="20" customHeight="1">
      <c r="A33" s="32" t="inlineStr">
        <is>
          <t>□ 封筒すべてに案件名・金額・受取者名が書いてある</t>
        </is>
      </c>
      <c r="B33" s="5" t="n"/>
      <c r="C33" s="5" t="n"/>
      <c r="D33" s="5" t="n"/>
      <c r="E33" s="5" t="n"/>
      <c r="F33" s="6" t="n"/>
      <c r="G33" s="33" t="inlineStr">
        <is>
          <t>はい ・ いいえ</t>
        </is>
      </c>
      <c r="H33" s="6" t="n"/>
    </row>
    <row r="34" ht="20" customHeight="1">
      <c r="A34" s="32" t="inlineStr">
        <is>
          <t>□ 前回のチェック表の差額・対応事項はすべて解決している</t>
        </is>
      </c>
      <c r="B34" s="5" t="n"/>
      <c r="C34" s="5" t="n"/>
      <c r="D34" s="5" t="n"/>
      <c r="E34" s="5" t="n"/>
      <c r="F34" s="6" t="n"/>
      <c r="G34" s="33" t="inlineStr">
        <is>
          <t>はい ・ いいえ</t>
        </is>
      </c>
      <c r="H34" s="6" t="n"/>
    </row>
    <row r="35" ht="20" customHeight="1">
      <c r="A35" s="32" t="inlineStr">
        <is>
          <t>□ 金庫の鍵・暗証番号は決められた人だけが管理している</t>
        </is>
      </c>
      <c r="B35" s="5" t="n"/>
      <c r="C35" s="5" t="n"/>
      <c r="D35" s="5" t="n"/>
      <c r="E35" s="5" t="n"/>
      <c r="F35" s="6" t="n"/>
      <c r="G35" s="33" t="inlineStr">
        <is>
          <t>はい ・ いいえ</t>
        </is>
      </c>
      <c r="H35" s="6" t="n"/>
    </row>
    <row r="36" ht="20" customHeight="1">
      <c r="A36" s="32" t="inlineStr">
        <is>
          <t>□ チェック後に金庫を施錠し、2人で施錠を確認した</t>
        </is>
      </c>
      <c r="B36" s="5" t="n"/>
      <c r="C36" s="5" t="n"/>
      <c r="D36" s="5" t="n"/>
      <c r="E36" s="5" t="n"/>
      <c r="F36" s="6" t="n"/>
      <c r="G36" s="33" t="inlineStr">
        <is>
          <t>はい ・ いいえ</t>
        </is>
      </c>
      <c r="H36" s="6" t="n"/>
    </row>
    <row r="38">
      <c r="A38" s="10" t="inlineStr">
        <is>
          <t>4. 差額があったとき(1円でも差があれば記入し、当日中に責任者へ報告)</t>
        </is>
      </c>
      <c r="B38" s="5" t="n"/>
      <c r="C38" s="5" t="n"/>
      <c r="D38" s="5" t="n"/>
      <c r="E38" s="5" t="n"/>
      <c r="F38" s="5" t="n"/>
      <c r="G38" s="5" t="n"/>
      <c r="H38" s="6" t="n"/>
    </row>
    <row r="39" ht="30" customHeight="1">
      <c r="A39" s="9" t="inlineStr">
        <is>
          <t>考えられる原因</t>
        </is>
      </c>
      <c r="B39" s="34" t="n"/>
      <c r="C39" s="5" t="n"/>
      <c r="D39" s="5" t="n"/>
      <c r="E39" s="5" t="n"/>
      <c r="F39" s="5" t="n"/>
      <c r="G39" s="5" t="n"/>
      <c r="H39" s="6" t="n"/>
    </row>
    <row r="40" ht="30" customHeight="1">
      <c r="A40" s="9" t="inlineStr">
        <is>
          <t>対応内容</t>
        </is>
      </c>
      <c r="B40" s="34" t="n"/>
      <c r="C40" s="5" t="n"/>
      <c r="D40" s="5" t="n"/>
      <c r="E40" s="5" t="n"/>
      <c r="F40" s="5" t="n"/>
      <c r="G40" s="5" t="n"/>
      <c r="H40" s="6" t="n"/>
    </row>
    <row r="41" ht="30" customHeight="1">
      <c r="A41" s="9" t="inlineStr">
        <is>
          <t>責任者への報告</t>
        </is>
      </c>
      <c r="B41" s="34" t="n"/>
      <c r="C41" s="5" t="n"/>
      <c r="D41" s="5" t="n"/>
      <c r="E41" s="5" t="n"/>
      <c r="F41" s="5" t="n"/>
      <c r="G41" s="5" t="n"/>
      <c r="H41" s="6" t="n"/>
    </row>
  </sheetData>
  <mergeCells count="37">
    <mergeCell ref="A30:H30"/>
    <mergeCell ref="B40:H40"/>
    <mergeCell ref="B3:C3"/>
    <mergeCell ref="G11:H11"/>
    <mergeCell ref="G36:H36"/>
    <mergeCell ref="A1:H1"/>
    <mergeCell ref="G8:H8"/>
    <mergeCell ref="A6:H6"/>
    <mergeCell ref="A33:F33"/>
    <mergeCell ref="B41:H41"/>
    <mergeCell ref="G7:H7"/>
    <mergeCell ref="E3"/>
    <mergeCell ref="G10:H10"/>
    <mergeCell ref="A14:C14"/>
    <mergeCell ref="A32:F32"/>
    <mergeCell ref="G28:H28"/>
    <mergeCell ref="A35:F35"/>
    <mergeCell ref="G3:H3"/>
    <mergeCell ref="A18:H18"/>
    <mergeCell ref="A28:C28"/>
    <mergeCell ref="G34:H34"/>
    <mergeCell ref="E4"/>
    <mergeCell ref="G33:H33"/>
    <mergeCell ref="B39:H39"/>
    <mergeCell ref="A31:F31"/>
    <mergeCell ref="A34:F34"/>
    <mergeCell ref="E14:H16"/>
    <mergeCell ref="A15:C15"/>
    <mergeCell ref="G35:H35"/>
    <mergeCell ref="G4:H4"/>
    <mergeCell ref="A36:F36"/>
    <mergeCell ref="G32:H32"/>
    <mergeCell ref="A38:H38"/>
    <mergeCell ref="G31:H31"/>
    <mergeCell ref="G9:H9"/>
    <mergeCell ref="B4:C4"/>
    <mergeCell ref="A16:C16"/>
  </mergeCells>
  <printOptions horizontalCentered="1"/>
  <pageMargins left="0.5" right="0.5" top="0.6" bottom="0.6" header="0.5" footer="0.5"/>
  <pageSetup orientation="portrait" paperSize="9" fitToHeight="1" fitToWidth="1"/>
  <headerFooter>
    <oddHeader/>
    <oddFooter>&amp;C&amp;8 黄色の欄を記入。記入後は1年間保管(ファイルに綴じる)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9" customWidth="1" min="7" max="7"/>
    <col width="13" customWidth="1" min="8" max="8"/>
  </cols>
  <sheetData>
    <row r="1" ht="30" customHeight="1">
      <c r="A1" s="4" t="inlineStr">
        <is>
          <t>金庫チェック表(週次)  ※記入例</t>
        </is>
      </c>
      <c r="B1" s="5" t="n"/>
      <c r="C1" s="5" t="n"/>
      <c r="D1" s="5" t="n"/>
      <c r="E1" s="5" t="n"/>
      <c r="F1" s="5" t="n"/>
      <c r="G1" s="5" t="n"/>
      <c r="H1" s="6" t="n"/>
    </row>
    <row r="3">
      <c r="A3" s="7" t="inlineStr">
        <is>
          <t>実施日</t>
        </is>
      </c>
      <c r="B3" s="8" t="inlineStr">
        <is>
          <t>2026/10/05(月)</t>
        </is>
      </c>
      <c r="C3" s="6" t="n"/>
      <c r="D3" s="7" t="inlineStr">
        <is>
          <t>実施時刻</t>
        </is>
      </c>
      <c r="E3" s="8" t="inlineStr">
        <is>
          <t>18:30</t>
        </is>
      </c>
      <c r="F3" s="7" t="inlineStr">
        <is>
          <t>前回実施日</t>
        </is>
      </c>
      <c r="G3" s="8" t="inlineStr">
        <is>
          <t>2026/09/28(月)</t>
        </is>
      </c>
      <c r="H3" s="6" t="n"/>
    </row>
    <row r="4" ht="28" customHeight="1">
      <c r="A4" s="9" t="inlineStr">
        <is>
          <t>担当者(数える人)</t>
        </is>
      </c>
      <c r="B4" s="8" t="inlineStr">
        <is>
          <t>山田</t>
        </is>
      </c>
      <c r="C4" s="6" t="n"/>
      <c r="D4" s="9" t="inlineStr">
        <is>
          <t>確認者(立会い)</t>
        </is>
      </c>
      <c r="E4" s="8" t="inlineStr">
        <is>
          <t>佐藤</t>
        </is>
      </c>
      <c r="F4" s="9" t="inlineStr">
        <is>
          <t>責任者印</t>
        </is>
      </c>
      <c r="G4" s="8" t="n"/>
      <c r="H4" s="6" t="n"/>
    </row>
    <row r="6">
      <c r="A6" s="10" t="inlineStr">
        <is>
          <t>1. 釣銭準備金(金種ごとに枚数を数えて記入)</t>
        </is>
      </c>
      <c r="B6" s="5" t="n"/>
      <c r="C6" s="5" t="n"/>
      <c r="D6" s="5" t="n"/>
      <c r="E6" s="5" t="n"/>
      <c r="F6" s="5" t="n"/>
      <c r="G6" s="5" t="n"/>
      <c r="H6" s="6" t="n"/>
    </row>
    <row r="7">
      <c r="A7" s="7" t="inlineStr">
        <is>
          <t>金種</t>
        </is>
      </c>
      <c r="B7" s="7" t="inlineStr">
        <is>
          <t>枚数</t>
        </is>
      </c>
      <c r="C7" s="7" t="inlineStr">
        <is>
          <t>金額(円)</t>
        </is>
      </c>
      <c r="E7" s="7" t="inlineStr">
        <is>
          <t>金種</t>
        </is>
      </c>
      <c r="F7" s="7" t="inlineStr">
        <is>
          <t>枚数</t>
        </is>
      </c>
      <c r="G7" s="7" t="inlineStr">
        <is>
          <t>金額(円)</t>
        </is>
      </c>
      <c r="H7" s="11" t="n"/>
    </row>
    <row r="8" ht="22" customHeight="1">
      <c r="A8" s="12" t="inlineStr">
        <is>
          <t>10,000円札</t>
        </is>
      </c>
      <c r="B8" s="13" t="n">
        <v>3</v>
      </c>
      <c r="C8" s="14">
        <f>10000*B8</f>
        <v/>
      </c>
      <c r="E8" s="12" t="inlineStr">
        <is>
          <t>50円玉</t>
        </is>
      </c>
      <c r="F8" s="13" t="n">
        <v>20</v>
      </c>
      <c r="G8" s="14">
        <f>50*F8</f>
        <v/>
      </c>
      <c r="H8" s="6" t="n"/>
    </row>
    <row r="9" ht="22" customHeight="1">
      <c r="A9" s="12" t="inlineStr">
        <is>
          <t>5,000円札</t>
        </is>
      </c>
      <c r="B9" s="13" t="n">
        <v>4</v>
      </c>
      <c r="C9" s="14">
        <f>5000*B9</f>
        <v/>
      </c>
      <c r="E9" s="12" t="inlineStr">
        <is>
          <t>10円玉</t>
        </is>
      </c>
      <c r="F9" s="13" t="n">
        <v>80</v>
      </c>
      <c r="G9" s="14">
        <f>10*F9</f>
        <v/>
      </c>
      <c r="H9" s="6" t="n"/>
    </row>
    <row r="10" ht="22" customHeight="1">
      <c r="A10" s="12" t="inlineStr">
        <is>
          <t>1,000円札</t>
        </is>
      </c>
      <c r="B10" s="13" t="n">
        <v>30</v>
      </c>
      <c r="C10" s="14">
        <f>1000*B10</f>
        <v/>
      </c>
      <c r="E10" s="12" t="inlineStr">
        <is>
          <t>5円玉</t>
        </is>
      </c>
      <c r="F10" s="13" t="n">
        <v>20</v>
      </c>
      <c r="G10" s="14">
        <f>5*F10</f>
        <v/>
      </c>
      <c r="H10" s="6" t="n"/>
    </row>
    <row r="11" ht="22" customHeight="1">
      <c r="A11" s="12" t="inlineStr">
        <is>
          <t>500円玉</t>
        </is>
      </c>
      <c r="B11" s="13" t="n">
        <v>20</v>
      </c>
      <c r="C11" s="14">
        <f>500*B11</f>
        <v/>
      </c>
      <c r="E11" s="12" t="inlineStr">
        <is>
          <t>1円玉</t>
        </is>
      </c>
      <c r="F11" s="13" t="n">
        <v>100</v>
      </c>
      <c r="G11" s="14">
        <f>1*F11</f>
        <v/>
      </c>
      <c r="H11" s="6" t="n"/>
    </row>
    <row r="12" ht="22" customHeight="1">
      <c r="A12" s="12" t="inlineStr">
        <is>
          <t>100円玉</t>
        </is>
      </c>
      <c r="B12" s="13" t="n">
        <v>80</v>
      </c>
      <c r="C12" s="14">
        <f>100*B12</f>
        <v/>
      </c>
    </row>
    <row r="14" ht="22" customHeight="1">
      <c r="A14" s="15" t="inlineStr">
        <is>
          <t>① 実際の合計</t>
        </is>
      </c>
      <c r="B14" s="5" t="n"/>
      <c r="C14" s="6" t="n"/>
      <c r="D14" s="16">
        <f>SUM(C8:C12)+SUM(G8:G12)</f>
        <v/>
      </c>
      <c r="E14" s="17" t="inlineStr">
        <is>
          <t>②は100,000円で固定。
③が0でなければ「4. 差額があったとき」を必ず記入。</t>
        </is>
      </c>
      <c r="F14" s="18" t="n"/>
      <c r="G14" s="18" t="n"/>
      <c r="H14" s="19" t="n"/>
    </row>
    <row r="15" ht="22" customHeight="1">
      <c r="A15" s="15" t="inlineStr">
        <is>
          <t>② 決められた準備金の額</t>
        </is>
      </c>
      <c r="B15" s="5" t="n"/>
      <c r="C15" s="6" t="n"/>
      <c r="D15" s="16" t="n">
        <v>100000</v>
      </c>
      <c r="E15" s="20" t="n"/>
      <c r="H15" s="21" t="n"/>
    </row>
    <row r="16" ht="22" customHeight="1">
      <c r="A16" s="15" t="inlineStr">
        <is>
          <t>③ 差額(①−②)</t>
        </is>
      </c>
      <c r="B16" s="5" t="n"/>
      <c r="C16" s="6" t="n"/>
      <c r="D16" s="22">
        <f>IF(COUNT(B8:B12,F8:F11)=0,"",D14-D15)</f>
        <v/>
      </c>
      <c r="E16" s="23" t="n"/>
      <c r="F16" s="24" t="n"/>
      <c r="G16" s="24" t="n"/>
      <c r="H16" s="25" t="n"/>
    </row>
    <row r="18">
      <c r="A18" s="10" t="inlineStr">
        <is>
          <t>2. 現場売上金・預かり金(金庫に入っている封筒を1件ずつ記入)</t>
        </is>
      </c>
      <c r="B18" s="5" t="n"/>
      <c r="C18" s="5" t="n"/>
      <c r="D18" s="5" t="n"/>
      <c r="E18" s="5" t="n"/>
      <c r="F18" s="5" t="n"/>
      <c r="G18" s="5" t="n"/>
      <c r="H18" s="6" t="n"/>
    </row>
    <row r="19" ht="28" customHeight="1">
      <c r="A19" s="26" t="inlineStr">
        <is>
          <t>案件名</t>
        </is>
      </c>
      <c r="B19" s="26" t="inlineStr">
        <is>
          <t>区分
売上/預り</t>
        </is>
      </c>
      <c r="C19" s="26" t="inlineStr">
        <is>
          <t>受取日</t>
        </is>
      </c>
      <c r="D19" s="26" t="inlineStr">
        <is>
          <t>帳簿の金額</t>
        </is>
      </c>
      <c r="E19" s="26" t="inlineStr">
        <is>
          <t>実際の金額</t>
        </is>
      </c>
      <c r="F19" s="26" t="inlineStr">
        <is>
          <t>差額</t>
        </is>
      </c>
      <c r="G19" s="26" t="inlineStr">
        <is>
          <t>銀行
入金済</t>
        </is>
      </c>
      <c r="H19" s="26" t="inlineStr">
        <is>
          <t>入金日/返却日</t>
        </is>
      </c>
    </row>
    <row r="20" ht="22" customHeight="1">
      <c r="A20" s="27" t="inlineStr">
        <is>
          <t>A社 周年パーティー</t>
        </is>
      </c>
      <c r="B20" s="28" t="inlineStr">
        <is>
          <t>売上</t>
        </is>
      </c>
      <c r="C20" s="28" t="inlineStr">
        <is>
          <t>10/02</t>
        </is>
      </c>
      <c r="D20" s="29" t="n">
        <v>180000</v>
      </c>
      <c r="E20" s="29" t="n">
        <v>180000</v>
      </c>
      <c r="F20" s="30">
        <f>IF(OR(D20="",E20=""),"",E20-D20)</f>
        <v/>
      </c>
      <c r="G20" s="12" t="inlineStr">
        <is>
          <t>□</t>
        </is>
      </c>
      <c r="H20" s="28" t="inlineStr"/>
    </row>
    <row r="21" ht="22" customHeight="1">
      <c r="A21" s="27" t="inlineStr">
        <is>
          <t>B様 結婚式二次会</t>
        </is>
      </c>
      <c r="B21" s="28" t="inlineStr">
        <is>
          <t>預り</t>
        </is>
      </c>
      <c r="C21" s="28" t="inlineStr">
        <is>
          <t>10/03</t>
        </is>
      </c>
      <c r="D21" s="29" t="n">
        <v>50000</v>
      </c>
      <c r="E21" s="29" t="n">
        <v>49000</v>
      </c>
      <c r="F21" s="30">
        <f>IF(OR(D21="",E21=""),"",E21-D21)</f>
        <v/>
      </c>
      <c r="G21" s="12" t="inlineStr">
        <is>
          <t>□</t>
        </is>
      </c>
      <c r="H21" s="28" t="inlineStr"/>
    </row>
    <row r="22" ht="22" customHeight="1">
      <c r="A22" s="27" t="n"/>
      <c r="B22" s="28" t="n"/>
      <c r="C22" s="28" t="n"/>
      <c r="D22" s="29" t="n"/>
      <c r="E22" s="29" t="n"/>
      <c r="F22" s="30">
        <f>IF(OR(D22="",E22=""),"",E22-D22)</f>
        <v/>
      </c>
      <c r="G22" s="12" t="inlineStr">
        <is>
          <t>□</t>
        </is>
      </c>
      <c r="H22" s="28" t="n"/>
    </row>
    <row r="23" ht="22" customHeight="1">
      <c r="A23" s="27" t="n"/>
      <c r="B23" s="28" t="n"/>
      <c r="C23" s="28" t="n"/>
      <c r="D23" s="29" t="n"/>
      <c r="E23" s="29" t="n"/>
      <c r="F23" s="30">
        <f>IF(OR(D23="",E23=""),"",E23-D23)</f>
        <v/>
      </c>
      <c r="G23" s="12" t="inlineStr">
        <is>
          <t>□</t>
        </is>
      </c>
      <c r="H23" s="28" t="n"/>
    </row>
    <row r="24" ht="22" customHeight="1">
      <c r="A24" s="27" t="n"/>
      <c r="B24" s="28" t="n"/>
      <c r="C24" s="28" t="n"/>
      <c r="D24" s="29" t="n"/>
      <c r="E24" s="29" t="n"/>
      <c r="F24" s="30">
        <f>IF(OR(D24="",E24=""),"",E24-D24)</f>
        <v/>
      </c>
      <c r="G24" s="12" t="inlineStr">
        <is>
          <t>□</t>
        </is>
      </c>
      <c r="H24" s="28" t="n"/>
    </row>
    <row r="25" ht="22" customHeight="1">
      <c r="A25" s="27" t="n"/>
      <c r="B25" s="28" t="n"/>
      <c r="C25" s="28" t="n"/>
      <c r="D25" s="29" t="n"/>
      <c r="E25" s="29" t="n"/>
      <c r="F25" s="30">
        <f>IF(OR(D25="",E25=""),"",E25-D25)</f>
        <v/>
      </c>
      <c r="G25" s="12" t="inlineStr">
        <is>
          <t>□</t>
        </is>
      </c>
      <c r="H25" s="28" t="n"/>
    </row>
    <row r="26" ht="22" customHeight="1">
      <c r="A26" s="27" t="n"/>
      <c r="B26" s="28" t="n"/>
      <c r="C26" s="28" t="n"/>
      <c r="D26" s="29" t="n"/>
      <c r="E26" s="29" t="n"/>
      <c r="F26" s="30">
        <f>IF(OR(D26="",E26=""),"",E26-D26)</f>
        <v/>
      </c>
      <c r="G26" s="12" t="inlineStr">
        <is>
          <t>□</t>
        </is>
      </c>
      <c r="H26" s="28" t="n"/>
    </row>
    <row r="27" ht="22" customHeight="1">
      <c r="A27" s="27" t="n"/>
      <c r="B27" s="28" t="n"/>
      <c r="C27" s="28" t="n"/>
      <c r="D27" s="29" t="n"/>
      <c r="E27" s="29" t="n"/>
      <c r="F27" s="30">
        <f>IF(OR(D27="",E27=""),"",E27-D27)</f>
        <v/>
      </c>
      <c r="G27" s="12" t="inlineStr">
        <is>
          <t>□</t>
        </is>
      </c>
      <c r="H27" s="28" t="n"/>
    </row>
    <row r="28" ht="22" customHeight="1">
      <c r="A28" s="7" t="inlineStr">
        <is>
          <t>合計</t>
        </is>
      </c>
      <c r="B28" s="5" t="n"/>
      <c r="C28" s="6" t="n"/>
      <c r="D28" s="16">
        <f>SUM(D20:D27)</f>
        <v/>
      </c>
      <c r="E28" s="16">
        <f>SUM(E20:E27)</f>
        <v/>
      </c>
      <c r="F28" s="22">
        <f>IF(COUNT(E20:E27)=0,"",E28-D28)</f>
        <v/>
      </c>
      <c r="G28" s="31" t="n"/>
      <c r="H28" s="6" t="n"/>
    </row>
    <row r="30">
      <c r="A30" s="10" t="inlineStr">
        <is>
          <t>3. 確認項目(はい/いいえ に○)</t>
        </is>
      </c>
      <c r="B30" s="5" t="n"/>
      <c r="C30" s="5" t="n"/>
      <c r="D30" s="5" t="n"/>
      <c r="E30" s="5" t="n"/>
      <c r="F30" s="5" t="n"/>
      <c r="G30" s="5" t="n"/>
      <c r="H30" s="6" t="n"/>
    </row>
    <row r="31" ht="20" customHeight="1">
      <c r="A31" s="32" t="inlineStr">
        <is>
          <t>□ 受取日から7日以上たっている売上金はない(あれば今日入金する)</t>
        </is>
      </c>
      <c r="B31" s="5" t="n"/>
      <c r="C31" s="5" t="n"/>
      <c r="D31" s="5" t="n"/>
      <c r="E31" s="5" t="n"/>
      <c r="F31" s="6" t="n"/>
      <c r="G31" s="33" t="inlineStr">
        <is>
          <t>はい ・ いいえ</t>
        </is>
      </c>
      <c r="H31" s="6" t="n"/>
    </row>
    <row r="32" ht="20" customHeight="1">
      <c r="A32" s="32" t="inlineStr">
        <is>
          <t>□ 預かり金の返却・精算の期限を過ぎているものはない</t>
        </is>
      </c>
      <c r="B32" s="5" t="n"/>
      <c r="C32" s="5" t="n"/>
      <c r="D32" s="5" t="n"/>
      <c r="E32" s="5" t="n"/>
      <c r="F32" s="6" t="n"/>
      <c r="G32" s="33" t="inlineStr">
        <is>
          <t>はい ・ いいえ</t>
        </is>
      </c>
      <c r="H32" s="6" t="n"/>
    </row>
    <row r="33" ht="20" customHeight="1">
      <c r="A33" s="32" t="inlineStr">
        <is>
          <t>□ 封筒すべてに案件名・金額・受取者名が書いてある</t>
        </is>
      </c>
      <c r="B33" s="5" t="n"/>
      <c r="C33" s="5" t="n"/>
      <c r="D33" s="5" t="n"/>
      <c r="E33" s="5" t="n"/>
      <c r="F33" s="6" t="n"/>
      <c r="G33" s="33" t="inlineStr">
        <is>
          <t>はい ・ いいえ</t>
        </is>
      </c>
      <c r="H33" s="6" t="n"/>
    </row>
    <row r="34" ht="20" customHeight="1">
      <c r="A34" s="32" t="inlineStr">
        <is>
          <t>□ 前回のチェック表の差額・対応事項はすべて解決している</t>
        </is>
      </c>
      <c r="B34" s="5" t="n"/>
      <c r="C34" s="5" t="n"/>
      <c r="D34" s="5" t="n"/>
      <c r="E34" s="5" t="n"/>
      <c r="F34" s="6" t="n"/>
      <c r="G34" s="33" t="inlineStr">
        <is>
          <t>はい ・ いいえ</t>
        </is>
      </c>
      <c r="H34" s="6" t="n"/>
    </row>
    <row r="35" ht="20" customHeight="1">
      <c r="A35" s="32" t="inlineStr">
        <is>
          <t>□ 金庫の鍵・暗証番号は決められた人だけが管理している</t>
        </is>
      </c>
      <c r="B35" s="5" t="n"/>
      <c r="C35" s="5" t="n"/>
      <c r="D35" s="5" t="n"/>
      <c r="E35" s="5" t="n"/>
      <c r="F35" s="6" t="n"/>
      <c r="G35" s="33" t="inlineStr">
        <is>
          <t>はい ・ いいえ</t>
        </is>
      </c>
      <c r="H35" s="6" t="n"/>
    </row>
    <row r="36" ht="20" customHeight="1">
      <c r="A36" s="32" t="inlineStr">
        <is>
          <t>□ チェック後に金庫を施錠し、2人で施錠を確認した</t>
        </is>
      </c>
      <c r="B36" s="5" t="n"/>
      <c r="C36" s="5" t="n"/>
      <c r="D36" s="5" t="n"/>
      <c r="E36" s="5" t="n"/>
      <c r="F36" s="6" t="n"/>
      <c r="G36" s="33" t="inlineStr">
        <is>
          <t>はい ・ いいえ</t>
        </is>
      </c>
      <c r="H36" s="6" t="n"/>
    </row>
    <row r="38">
      <c r="A38" s="10" t="inlineStr">
        <is>
          <t>4. 差額があったとき(1円でも差があれば記入し、当日中に責任者へ報告)</t>
        </is>
      </c>
      <c r="B38" s="5" t="n"/>
      <c r="C38" s="5" t="n"/>
      <c r="D38" s="5" t="n"/>
      <c r="E38" s="5" t="n"/>
      <c r="F38" s="5" t="n"/>
      <c r="G38" s="5" t="n"/>
      <c r="H38" s="6" t="n"/>
    </row>
    <row r="39" ht="30" customHeight="1">
      <c r="A39" s="9" t="inlineStr">
        <is>
          <t>考えられる原因</t>
        </is>
      </c>
      <c r="B39" s="34" t="inlineStr">
        <is>
          <t>B様預り金:当日のキャンセル料1,000円を現金で返金、記録漏れ</t>
        </is>
      </c>
      <c r="C39" s="5" t="n"/>
      <c r="D39" s="5" t="n"/>
      <c r="E39" s="5" t="n"/>
      <c r="F39" s="5" t="n"/>
      <c r="G39" s="5" t="n"/>
      <c r="H39" s="6" t="n"/>
    </row>
    <row r="40" ht="30" customHeight="1">
      <c r="A40" s="9" t="inlineStr">
        <is>
          <t>対応内容</t>
        </is>
      </c>
      <c r="B40" s="34" t="inlineStr">
        <is>
          <t>B様への返金記録を追記し帳簿を修正。封筒に返金メモを同封</t>
        </is>
      </c>
      <c r="C40" s="5" t="n"/>
      <c r="D40" s="5" t="n"/>
      <c r="E40" s="5" t="n"/>
      <c r="F40" s="5" t="n"/>
      <c r="G40" s="5" t="n"/>
      <c r="H40" s="6" t="n"/>
    </row>
    <row r="41" ht="30" customHeight="1">
      <c r="A41" s="9" t="inlineStr">
        <is>
          <t>責任者への報告</t>
        </is>
      </c>
      <c r="B41" s="34" t="inlineStr">
        <is>
          <t>10/05 19:00 田中店長へ口頭報告済み</t>
        </is>
      </c>
      <c r="C41" s="5" t="n"/>
      <c r="D41" s="5" t="n"/>
      <c r="E41" s="5" t="n"/>
      <c r="F41" s="5" t="n"/>
      <c r="G41" s="5" t="n"/>
      <c r="H41" s="6" t="n"/>
    </row>
  </sheetData>
  <mergeCells count="37">
    <mergeCell ref="A30:H30"/>
    <mergeCell ref="B40:H40"/>
    <mergeCell ref="B3:C3"/>
    <mergeCell ref="G11:H11"/>
    <mergeCell ref="G36:H36"/>
    <mergeCell ref="A1:H1"/>
    <mergeCell ref="G8:H8"/>
    <mergeCell ref="A6:H6"/>
    <mergeCell ref="A33:F33"/>
    <mergeCell ref="B41:H41"/>
    <mergeCell ref="G7:H7"/>
    <mergeCell ref="E3"/>
    <mergeCell ref="G10:H10"/>
    <mergeCell ref="A14:C14"/>
    <mergeCell ref="A32:F32"/>
    <mergeCell ref="G28:H28"/>
    <mergeCell ref="A35:F35"/>
    <mergeCell ref="G3:H3"/>
    <mergeCell ref="A18:H18"/>
    <mergeCell ref="A28:C28"/>
    <mergeCell ref="G34:H34"/>
    <mergeCell ref="E4"/>
    <mergeCell ref="G33:H33"/>
    <mergeCell ref="B39:H39"/>
    <mergeCell ref="A31:F31"/>
    <mergeCell ref="A34:F34"/>
    <mergeCell ref="E14:H16"/>
    <mergeCell ref="A15:C15"/>
    <mergeCell ref="G35:H35"/>
    <mergeCell ref="G4:H4"/>
    <mergeCell ref="A36:F36"/>
    <mergeCell ref="G32:H32"/>
    <mergeCell ref="A38:H38"/>
    <mergeCell ref="G31:H31"/>
    <mergeCell ref="G9:H9"/>
    <mergeCell ref="B4:C4"/>
    <mergeCell ref="A16:C16"/>
  </mergeCells>
  <printOptions horizontalCentered="1"/>
  <pageMargins left="0.5" right="0.5" top="0.6" bottom="0.6" header="0.5" footer="0.5"/>
  <pageSetup orientation="portrait" paperSize="9" fitToHeight="1" fitToWidth="1"/>
  <headerFooter>
    <oddHeader/>
    <oddFooter>&amp;C&amp;8 黄色の欄を記入。記入後は1年間保管(ファイルに綴じる)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2026-09-27T06:27:02Z</dcterms:created>
  <dcterms:modified xsi:type="dcterms:W3CDTF">2026-09-27T06:27:02Z</dcterms:modified>
</cp:coreProperties>
</file>