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出納帳(印刷用)" sheetId="2" state="visible" r:id="rId2"/>
    <sheet name="記入例" sheetId="3" state="visible" r:id="rId3"/>
  </sheets>
  <definedNames>
    <definedName name="_xlnm.Print_Area" localSheetId="1">'出納帳(印刷用)'!$A$1:$H$46</definedName>
    <definedName name="_xlnm.Print_Area" localSheetId="2">'記入例'!$A$1:$H$46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#,##0;-#,##0;&quot;&quot;"/>
    <numFmt numFmtId="166" formatCode="#,##0;[Red]-#,##0;0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color rgb="00000000"/>
      <sz val="11"/>
    </font>
    <font>
      <name val="Arial"/>
      <b val="1"/>
      <color rgb="00000000"/>
      <sz val="11"/>
    </font>
    <font>
      <name val="Arial"/>
      <b val="1"/>
      <color rgb="00000000"/>
      <sz val="15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808080"/>
      <sz val="7"/>
    </font>
    <font>
      <name val="Arial"/>
      <color rgb="00595959"/>
      <sz val="8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9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0" fillId="0" borderId="4" pivotButton="0" quotePrefix="0" xfId="0"/>
    <xf numFmtId="164" fontId="5" fillId="0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164" fontId="6" fillId="3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6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5" fontId="6" fillId="3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0" fontId="0" fillId="0" borderId="7" pivotButton="0" quotePrefix="0" xfId="0"/>
    <xf numFmtId="0" fontId="0" fillId="0" borderId="8" pivotButton="0" quotePrefix="0" xfId="0"/>
    <xf numFmtId="0" fontId="8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現金出納帳 兼 金庫確認表の使い方</t>
        </is>
      </c>
    </row>
    <row r="2">
      <c r="A2" s="2" t="inlineStr"/>
    </row>
    <row r="3">
      <c r="A3" s="3" t="inlineStr">
        <is>
          <t>毎回(お金を出し入れしたとき)</t>
        </is>
      </c>
    </row>
    <row r="4">
      <c r="A4" s="2" t="inlineStr">
        <is>
          <t>1. 購入で現金を出したら「出金」、売上金・預かり金を入れたら「入金」の列に、その場で1行書く。</t>
        </is>
      </c>
    </row>
    <row r="5">
      <c r="A5" s="2" t="inlineStr">
        <is>
          <t xml:space="preserve">   ▲を付けて1つの列に書く方法はやめる(付け忘れると、入金か出金か分からなくなるため)。</t>
        </is>
      </c>
    </row>
    <row r="6">
      <c r="A6" s="2" t="inlineStr">
        <is>
          <t>2. 区分に○を付ける。売=ケータリング・オードブルの売上金、預=預かり金、買=購入、他=それ以外。</t>
        </is>
      </c>
    </row>
    <row r="7">
      <c r="A7" s="2" t="inlineStr">
        <is>
          <t>3. 購入のレシートは用紙の裏にホチキスで留め、「レシート」欄に✓を付ける。</t>
        </is>
      </c>
    </row>
    <row r="8">
      <c r="A8" s="2" t="inlineStr"/>
    </row>
    <row r="9">
      <c r="A9" s="3" t="inlineStr">
        <is>
          <t>週1回(決めた曜日)</t>
        </is>
      </c>
    </row>
    <row r="10">
      <c r="A10" s="2" t="inlineStr">
        <is>
          <t>4. 2人で金庫の現金を金種ごとに数え、「2. 金種表」に書く。</t>
        </is>
      </c>
    </row>
    <row r="11">
      <c r="A11" s="2" t="inlineStr">
        <is>
          <t>5. 「3. 残高の確認」を上から順に計算する。⑥差額が0でなければ原因を書き、当日中に責任者へ報告。</t>
        </is>
      </c>
    </row>
    <row r="12">
      <c r="A12" s="2" t="inlineStr">
        <is>
          <t>6. 150,000円を超えた分は銀行へ入金、足りない分は補充して、金庫を毎週150,000円に戻す。</t>
        </is>
      </c>
    </row>
    <row r="13">
      <c r="A13" s="2" t="inlineStr">
        <is>
          <t>7. 用紙は責任者が押印してファイルに綴じ、1年間保管する。翌週は新しい用紙を使う。</t>
        </is>
      </c>
    </row>
    <row r="14">
      <c r="A14" s="2" t="inlineStr"/>
    </row>
    <row r="15">
      <c r="A15" s="3" t="inlineStr">
        <is>
          <t>ルール</t>
        </is>
      </c>
    </row>
    <row r="16">
      <c r="A16" s="2" t="inlineStr">
        <is>
          <t>・書き間違いは二重線を引き、確認者が印を押す。修正液・塗りつぶしは使わない。</t>
        </is>
      </c>
    </row>
    <row r="17">
      <c r="A17" s="2" t="inlineStr">
        <is>
          <t>・後からまとめて書かない。日付順に並ばない記入は、記入漏れのサインとして責任者が確認する。</t>
        </is>
      </c>
    </row>
    <row r="18">
      <c r="A18" s="2" t="inlineStr">
        <is>
          <t>・数える人は毎週交代する(同じ人に固定しない)。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30" customWidth="1" min="3" max="3"/>
    <col width="9" customWidth="1" min="4" max="4"/>
    <col width="12" customWidth="1" min="5" max="5"/>
    <col width="12" customWidth="1" min="6" max="6"/>
    <col width="8" customWidth="1" min="7" max="7"/>
    <col width="8" customWidth="1" min="8" max="8"/>
  </cols>
  <sheetData>
    <row r="1" ht="28" customHeight="1">
      <c r="A1" s="4" t="inlineStr">
        <is>
          <t>現金出納帳 兼 金庫確認表(週1枚)</t>
        </is>
      </c>
    </row>
    <row r="3" ht="22" customHeight="1">
      <c r="A3" s="5" t="inlineStr">
        <is>
          <t>期間</t>
        </is>
      </c>
      <c r="B3" s="6" t="inlineStr">
        <is>
          <t xml:space="preserve">     /     (  )〜     /     (  )</t>
        </is>
      </c>
      <c r="C3" s="7" t="n"/>
      <c r="D3" s="5" t="inlineStr">
        <is>
          <t>先週からの繰越</t>
        </is>
      </c>
      <c r="E3" s="7" t="n"/>
      <c r="F3" s="8" t="n">
        <v>150000</v>
      </c>
      <c r="G3" s="7" t="n"/>
      <c r="H3" s="9" t="inlineStr">
        <is>
          <t>円</t>
        </is>
      </c>
    </row>
    <row r="5">
      <c r="A5" s="10" t="inlineStr">
        <is>
          <t>1. お金を出し入れしたら、その場で1行記入(入金と出金は別の列に書く)</t>
        </is>
      </c>
    </row>
    <row r="6" ht="26" customHeight="1">
      <c r="A6" s="11" t="inlineStr">
        <is>
          <t>日付</t>
        </is>
      </c>
      <c r="B6" s="11" t="inlineStr">
        <is>
          <t>区分
売預買他</t>
        </is>
      </c>
      <c r="C6" s="11" t="inlineStr">
        <is>
          <t>内容・取引先</t>
        </is>
      </c>
      <c r="D6" s="11" t="inlineStr">
        <is>
          <t>担当</t>
        </is>
      </c>
      <c r="E6" s="11" t="inlineStr">
        <is>
          <t>入金(+)</t>
        </is>
      </c>
      <c r="F6" s="11" t="inlineStr">
        <is>
          <t>出金(−)</t>
        </is>
      </c>
      <c r="G6" s="11" t="inlineStr">
        <is>
          <t>レシ
ート</t>
        </is>
      </c>
      <c r="H6" s="11" t="inlineStr">
        <is>
          <t>確認</t>
        </is>
      </c>
    </row>
    <row r="7" ht="20" customHeight="1">
      <c r="A7" s="12" t="n"/>
      <c r="B7" s="13" t="inlineStr">
        <is>
          <t>売・預・買・他</t>
        </is>
      </c>
      <c r="C7" s="14" t="n"/>
      <c r="D7" s="12" t="n"/>
      <c r="E7" s="15" t="n"/>
      <c r="F7" s="15" t="n"/>
      <c r="G7" s="12" t="n"/>
      <c r="H7" s="16" t="n"/>
    </row>
    <row r="8" ht="20" customHeight="1">
      <c r="A8" s="12" t="n"/>
      <c r="B8" s="13" t="inlineStr">
        <is>
          <t>売・預・買・他</t>
        </is>
      </c>
      <c r="C8" s="14" t="n"/>
      <c r="D8" s="12" t="n"/>
      <c r="E8" s="15" t="n"/>
      <c r="F8" s="15" t="n"/>
      <c r="G8" s="12" t="n"/>
      <c r="H8" s="16" t="n"/>
    </row>
    <row r="9" ht="20" customHeight="1">
      <c r="A9" s="12" t="n"/>
      <c r="B9" s="13" t="inlineStr">
        <is>
          <t>売・預・買・他</t>
        </is>
      </c>
      <c r="C9" s="14" t="n"/>
      <c r="D9" s="12" t="n"/>
      <c r="E9" s="15" t="n"/>
      <c r="F9" s="15" t="n"/>
      <c r="G9" s="12" t="n"/>
      <c r="H9" s="16" t="n"/>
    </row>
    <row r="10" ht="20" customHeight="1">
      <c r="A10" s="12" t="n"/>
      <c r="B10" s="13" t="inlineStr">
        <is>
          <t>売・預・買・他</t>
        </is>
      </c>
      <c r="C10" s="14" t="n"/>
      <c r="D10" s="12" t="n"/>
      <c r="E10" s="15" t="n"/>
      <c r="F10" s="15" t="n"/>
      <c r="G10" s="12" t="n"/>
      <c r="H10" s="16" t="n"/>
    </row>
    <row r="11" ht="20" customHeight="1">
      <c r="A11" s="12" t="n"/>
      <c r="B11" s="13" t="inlineStr">
        <is>
          <t>売・預・買・他</t>
        </is>
      </c>
      <c r="C11" s="14" t="n"/>
      <c r="D11" s="12" t="n"/>
      <c r="E11" s="15" t="n"/>
      <c r="F11" s="15" t="n"/>
      <c r="G11" s="12" t="n"/>
      <c r="H11" s="16" t="n"/>
    </row>
    <row r="12" ht="20" customHeight="1">
      <c r="A12" s="12" t="n"/>
      <c r="B12" s="13" t="inlineStr">
        <is>
          <t>売・預・買・他</t>
        </is>
      </c>
      <c r="C12" s="14" t="n"/>
      <c r="D12" s="12" t="n"/>
      <c r="E12" s="15" t="n"/>
      <c r="F12" s="15" t="n"/>
      <c r="G12" s="12" t="n"/>
      <c r="H12" s="16" t="n"/>
    </row>
    <row r="13" ht="20" customHeight="1">
      <c r="A13" s="12" t="n"/>
      <c r="B13" s="13" t="inlineStr">
        <is>
          <t>売・預・買・他</t>
        </is>
      </c>
      <c r="C13" s="14" t="n"/>
      <c r="D13" s="12" t="n"/>
      <c r="E13" s="15" t="n"/>
      <c r="F13" s="15" t="n"/>
      <c r="G13" s="12" t="n"/>
      <c r="H13" s="16" t="n"/>
    </row>
    <row r="14" ht="20" customHeight="1">
      <c r="A14" s="12" t="n"/>
      <c r="B14" s="13" t="inlineStr">
        <is>
          <t>売・預・買・他</t>
        </is>
      </c>
      <c r="C14" s="14" t="n"/>
      <c r="D14" s="12" t="n"/>
      <c r="E14" s="15" t="n"/>
      <c r="F14" s="15" t="n"/>
      <c r="G14" s="12" t="n"/>
      <c r="H14" s="16" t="n"/>
    </row>
    <row r="15" ht="20" customHeight="1">
      <c r="A15" s="12" t="n"/>
      <c r="B15" s="13" t="inlineStr">
        <is>
          <t>売・預・買・他</t>
        </is>
      </c>
      <c r="C15" s="14" t="n"/>
      <c r="D15" s="12" t="n"/>
      <c r="E15" s="15" t="n"/>
      <c r="F15" s="15" t="n"/>
      <c r="G15" s="12" t="n"/>
      <c r="H15" s="16" t="n"/>
    </row>
    <row r="16" ht="20" customHeight="1">
      <c r="A16" s="12" t="n"/>
      <c r="B16" s="13" t="inlineStr">
        <is>
          <t>売・預・買・他</t>
        </is>
      </c>
      <c r="C16" s="14" t="n"/>
      <c r="D16" s="12" t="n"/>
      <c r="E16" s="15" t="n"/>
      <c r="F16" s="15" t="n"/>
      <c r="G16" s="12" t="n"/>
      <c r="H16" s="16" t="n"/>
    </row>
    <row r="17" ht="20" customHeight="1">
      <c r="A17" s="12" t="n"/>
      <c r="B17" s="13" t="inlineStr">
        <is>
          <t>売・預・買・他</t>
        </is>
      </c>
      <c r="C17" s="14" t="n"/>
      <c r="D17" s="12" t="n"/>
      <c r="E17" s="15" t="n"/>
      <c r="F17" s="15" t="n"/>
      <c r="G17" s="12" t="n"/>
      <c r="H17" s="16" t="n"/>
    </row>
    <row r="18" ht="20" customHeight="1">
      <c r="A18" s="12" t="n"/>
      <c r="B18" s="13" t="inlineStr">
        <is>
          <t>売・預・買・他</t>
        </is>
      </c>
      <c r="C18" s="14" t="n"/>
      <c r="D18" s="12" t="n"/>
      <c r="E18" s="15" t="n"/>
      <c r="F18" s="15" t="n"/>
      <c r="G18" s="12" t="n"/>
      <c r="H18" s="16" t="n"/>
    </row>
    <row r="19" ht="20" customHeight="1">
      <c r="A19" s="12" t="n"/>
      <c r="B19" s="13" t="inlineStr">
        <is>
          <t>売・預・買・他</t>
        </is>
      </c>
      <c r="C19" s="14" t="n"/>
      <c r="D19" s="12" t="n"/>
      <c r="E19" s="15" t="n"/>
      <c r="F19" s="15" t="n"/>
      <c r="G19" s="12" t="n"/>
      <c r="H19" s="16" t="n"/>
    </row>
    <row r="20" ht="20" customHeight="1">
      <c r="A20" s="12" t="n"/>
      <c r="B20" s="13" t="inlineStr">
        <is>
          <t>売・預・買・他</t>
        </is>
      </c>
      <c r="C20" s="14" t="n"/>
      <c r="D20" s="12" t="n"/>
      <c r="E20" s="15" t="n"/>
      <c r="F20" s="15" t="n"/>
      <c r="G20" s="12" t="n"/>
      <c r="H20" s="16" t="n"/>
    </row>
    <row r="21" ht="20" customHeight="1">
      <c r="A21" s="12" t="n"/>
      <c r="B21" s="13" t="inlineStr">
        <is>
          <t>売・預・買・他</t>
        </is>
      </c>
      <c r="C21" s="14" t="n"/>
      <c r="D21" s="12" t="n"/>
      <c r="E21" s="15" t="n"/>
      <c r="F21" s="15" t="n"/>
      <c r="G21" s="12" t="n"/>
      <c r="H21" s="16" t="n"/>
    </row>
    <row r="22" ht="20" customHeight="1">
      <c r="A22" s="12" t="n"/>
      <c r="B22" s="13" t="inlineStr">
        <is>
          <t>売・預・買・他</t>
        </is>
      </c>
      <c r="C22" s="14" t="n"/>
      <c r="D22" s="12" t="n"/>
      <c r="E22" s="15" t="n"/>
      <c r="F22" s="15" t="n"/>
      <c r="G22" s="12" t="n"/>
      <c r="H22" s="16" t="n"/>
    </row>
    <row r="23" ht="20" customHeight="1">
      <c r="A23" s="12" t="n"/>
      <c r="B23" s="13" t="inlineStr">
        <is>
          <t>売・預・買・他</t>
        </is>
      </c>
      <c r="C23" s="14" t="n"/>
      <c r="D23" s="12" t="n"/>
      <c r="E23" s="15" t="n"/>
      <c r="F23" s="15" t="n"/>
      <c r="G23" s="12" t="n"/>
      <c r="H23" s="16" t="n"/>
    </row>
    <row r="24" ht="20" customHeight="1">
      <c r="A24" s="12" t="n"/>
      <c r="B24" s="13" t="inlineStr">
        <is>
          <t>売・預・買・他</t>
        </is>
      </c>
      <c r="C24" s="14" t="n"/>
      <c r="D24" s="12" t="n"/>
      <c r="E24" s="15" t="n"/>
      <c r="F24" s="15" t="n"/>
      <c r="G24" s="12" t="n"/>
      <c r="H24" s="16" t="n"/>
    </row>
    <row r="25" ht="20" customHeight="1">
      <c r="A25" s="5" t="inlineStr">
        <is>
          <t>今週の合計</t>
        </is>
      </c>
      <c r="B25" s="17" t="n"/>
      <c r="C25" s="17" t="n"/>
      <c r="D25" s="7" t="n"/>
      <c r="E25" s="8">
        <f>SUM(E7:E24)</f>
        <v/>
      </c>
      <c r="F25" s="8">
        <f>SUM(F7:F24)</f>
        <v/>
      </c>
      <c r="G25" s="18" t="n"/>
      <c r="H25" s="7" t="n"/>
    </row>
    <row r="27">
      <c r="A27" s="10" t="inlineStr">
        <is>
          <t>2. 週1回、2人で金庫の現金を数える(金種ごとの枚数を記入)</t>
        </is>
      </c>
    </row>
    <row r="28">
      <c r="A28" s="19" t="inlineStr">
        <is>
          <t>金種</t>
        </is>
      </c>
      <c r="B28" s="19" t="inlineStr">
        <is>
          <t>枚数</t>
        </is>
      </c>
      <c r="C28" s="19" t="inlineStr">
        <is>
          <t>金額(円)</t>
        </is>
      </c>
      <c r="D28" s="19" t="inlineStr">
        <is>
          <t>金種</t>
        </is>
      </c>
      <c r="E28" s="19" t="inlineStr">
        <is>
          <t>枚数</t>
        </is>
      </c>
      <c r="F28" s="19" t="inlineStr">
        <is>
          <t>金額(円)</t>
        </is>
      </c>
    </row>
    <row r="29" ht="19" customHeight="1">
      <c r="A29" s="20" t="inlineStr">
        <is>
          <t>10,000円札</t>
        </is>
      </c>
      <c r="B29" s="21" t="n"/>
      <c r="C29" s="22">
        <f>10000*B29</f>
        <v/>
      </c>
      <c r="D29" s="20" t="inlineStr">
        <is>
          <t>50円玉</t>
        </is>
      </c>
      <c r="E29" s="21" t="n"/>
      <c r="F29" s="22">
        <f>50*E29</f>
        <v/>
      </c>
    </row>
    <row r="30" ht="19" customHeight="1">
      <c r="A30" s="20" t="inlineStr">
        <is>
          <t>5,000円札</t>
        </is>
      </c>
      <c r="B30" s="21" t="n"/>
      <c r="C30" s="22">
        <f>5000*B30</f>
        <v/>
      </c>
      <c r="D30" s="20" t="inlineStr">
        <is>
          <t>10円玉</t>
        </is>
      </c>
      <c r="E30" s="21" t="n"/>
      <c r="F30" s="22">
        <f>10*E30</f>
        <v/>
      </c>
    </row>
    <row r="31" ht="19" customHeight="1">
      <c r="A31" s="20" t="inlineStr">
        <is>
          <t>1,000円札</t>
        </is>
      </c>
      <c r="B31" s="21" t="n"/>
      <c r="C31" s="22">
        <f>1000*B31</f>
        <v/>
      </c>
      <c r="D31" s="20" t="inlineStr">
        <is>
          <t>5円玉</t>
        </is>
      </c>
      <c r="E31" s="21" t="n"/>
      <c r="F31" s="22">
        <f>5*E31</f>
        <v/>
      </c>
    </row>
    <row r="32" ht="19" customHeight="1">
      <c r="A32" s="20" t="inlineStr">
        <is>
          <t>500円玉</t>
        </is>
      </c>
      <c r="B32" s="21" t="n"/>
      <c r="C32" s="22">
        <f>500*B32</f>
        <v/>
      </c>
      <c r="D32" s="20" t="inlineStr">
        <is>
          <t>1円玉</t>
        </is>
      </c>
      <c r="E32" s="21" t="n"/>
      <c r="F32" s="22">
        <f>1*E32</f>
        <v/>
      </c>
    </row>
    <row r="33" ht="19" customHeight="1">
      <c r="A33" s="20" t="inlineStr">
        <is>
          <t>100円玉</t>
        </is>
      </c>
      <c r="B33" s="21" t="n"/>
      <c r="C33" s="22">
        <f>100*B33</f>
        <v/>
      </c>
    </row>
    <row r="35">
      <c r="A35" s="10" t="inlineStr">
        <is>
          <t>3. 帳簿の残高と実際の金額を比べる</t>
        </is>
      </c>
    </row>
    <row r="36" ht="19" customHeight="1">
      <c r="A36" s="23" t="inlineStr">
        <is>
          <t>① 先週からの繰越</t>
        </is>
      </c>
      <c r="B36" s="17" t="n"/>
      <c r="C36" s="7" t="n"/>
      <c r="D36" s="8">
        <f>F3</f>
        <v/>
      </c>
      <c r="E36" s="24" t="inlineStr">
        <is>
          <t>・⑥が0でなければ下の「差額の原因」を記入し、当日中に責任者へ報告
・⑨は必ず150,000円になる。来週の用紙の「繰越」は印字済み
・銀行へ入金したら、その控えをこの用紙に貼る</t>
        </is>
      </c>
    </row>
    <row r="37" ht="19" customHeight="1">
      <c r="A37" s="23" t="inlineStr">
        <is>
          <t>② 今週の入金合計</t>
        </is>
      </c>
      <c r="B37" s="17" t="n"/>
      <c r="C37" s="7" t="n"/>
      <c r="D37" s="8">
        <f>E25</f>
        <v/>
      </c>
    </row>
    <row r="38" ht="19" customHeight="1">
      <c r="A38" s="23" t="inlineStr">
        <is>
          <t>③ 今週の出金合計</t>
        </is>
      </c>
      <c r="B38" s="17" t="n"/>
      <c r="C38" s="7" t="n"/>
      <c r="D38" s="8">
        <f>F25</f>
        <v/>
      </c>
    </row>
    <row r="39" ht="19" customHeight="1">
      <c r="A39" s="23" t="inlineStr">
        <is>
          <t>④ 帳簿の残高(①+②−③)</t>
        </is>
      </c>
      <c r="B39" s="17" t="n"/>
      <c r="C39" s="7" t="n"/>
      <c r="D39" s="8">
        <f>IF(COUNT(E7:F24)=0,"",D36+D37-D38)</f>
        <v/>
      </c>
    </row>
    <row r="40" ht="19" customHeight="1">
      <c r="A40" s="23" t="inlineStr">
        <is>
          <t>⑤ 実際に数えた金額(2の合計)</t>
        </is>
      </c>
      <c r="B40" s="17" t="n"/>
      <c r="C40" s="7" t="n"/>
      <c r="D40" s="8">
        <f>IF(COUNT(B29:B33,E29:E32)=0,"",SUM(C29:C33)+SUM(F29:F32))</f>
        <v/>
      </c>
    </row>
    <row r="41" ht="19" customHeight="1">
      <c r="A41" s="23" t="inlineStr">
        <is>
          <t>⑥ 差額(⑤−④)</t>
        </is>
      </c>
      <c r="B41" s="17" t="n"/>
      <c r="C41" s="7" t="n"/>
      <c r="D41" s="25">
        <f>IF(OR(D39="",D40=""),"",D40-D39)</f>
        <v/>
      </c>
      <c r="E41" s="19" t="inlineStr">
        <is>
          <t>数えた人</t>
        </is>
      </c>
      <c r="F41" s="19" t="inlineStr">
        <is>
          <t>立会い</t>
        </is>
      </c>
      <c r="G41" s="19" t="inlineStr">
        <is>
          <t>責任者</t>
        </is>
      </c>
    </row>
    <row r="42" ht="19" customHeight="1">
      <c r="A42" s="23" t="inlineStr">
        <is>
          <t>⑦ 銀行へ入金(⑤が150,000円を超えた分)</t>
        </is>
      </c>
      <c r="B42" s="17" t="n"/>
      <c r="C42" s="7" t="n"/>
      <c r="D42" s="26" t="n"/>
      <c r="E42" s="18" t="n"/>
      <c r="F42" s="18" t="n"/>
      <c r="G42" s="18" t="n"/>
    </row>
    <row r="43" ht="19" customHeight="1">
      <c r="A43" s="23" t="inlineStr">
        <is>
          <t>⑧ 補充(⑤が150,000円に足りない分)</t>
        </is>
      </c>
      <c r="B43" s="17" t="n"/>
      <c r="C43" s="7" t="n"/>
      <c r="D43" s="26" t="n"/>
      <c r="E43" s="27" t="n"/>
      <c r="F43" s="27" t="n"/>
      <c r="G43" s="27" t="n"/>
    </row>
    <row r="44" ht="19" customHeight="1">
      <c r="A44" s="23" t="inlineStr">
        <is>
          <t>⑨ 来週への繰越(⑤−⑦+⑧)</t>
        </is>
      </c>
      <c r="B44" s="17" t="n"/>
      <c r="C44" s="7" t="n"/>
      <c r="D44" s="8">
        <f>IF(D40="","",D40-D42+D43)</f>
        <v/>
      </c>
      <c r="E44" s="28" t="n"/>
      <c r="F44" s="28" t="n"/>
      <c r="G44" s="28" t="n"/>
    </row>
    <row r="46" ht="34" customHeight="1">
      <c r="A46" s="11" t="inlineStr">
        <is>
          <t>差額の原因</t>
        </is>
      </c>
      <c r="B46" s="29" t="n"/>
      <c r="C46" s="17" t="n"/>
      <c r="D46" s="17" t="n"/>
      <c r="E46" s="17" t="n"/>
      <c r="F46" s="17" t="n"/>
      <c r="G46" s="17" t="n"/>
      <c r="H46" s="7" t="n"/>
    </row>
  </sheetData>
  <mergeCells count="23">
    <mergeCell ref="A41:C41"/>
    <mergeCell ref="A37:C37"/>
    <mergeCell ref="B3:C3"/>
    <mergeCell ref="A1:H1"/>
    <mergeCell ref="F3:G3"/>
    <mergeCell ref="A42:C42"/>
    <mergeCell ref="A27:H27"/>
    <mergeCell ref="A43:C43"/>
    <mergeCell ref="A38:C38"/>
    <mergeCell ref="E42:E44"/>
    <mergeCell ref="B46:H46"/>
    <mergeCell ref="A44:C44"/>
    <mergeCell ref="E36:H39"/>
    <mergeCell ref="A40:C40"/>
    <mergeCell ref="G42:G44"/>
    <mergeCell ref="A25:D25"/>
    <mergeCell ref="A39:C39"/>
    <mergeCell ref="A5:H5"/>
    <mergeCell ref="D3:E3"/>
    <mergeCell ref="A36:C36"/>
    <mergeCell ref="A35:H35"/>
    <mergeCell ref="G25:H25"/>
    <mergeCell ref="F42:F44"/>
  </mergeCells>
  <printOptions horizontalCentered="1"/>
  <pageMargins left="0.45" right="0.45" top="0.5" bottom="0.5" header="0.5" footer="0.5"/>
  <pageSetup orientation="portrait" paperSize="9" fitToHeight="1" fitToWidth="1"/>
  <headerFooter>
    <oddHeader/>
    <oddFooter>&amp;C&amp;8 黄色の欄を記入。書き間違いは二重線+確認者の印(消さない・塗りつぶさない)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30" customWidth="1" min="3" max="3"/>
    <col width="9" customWidth="1" min="4" max="4"/>
    <col width="12" customWidth="1" min="5" max="5"/>
    <col width="12" customWidth="1" min="6" max="6"/>
    <col width="8" customWidth="1" min="7" max="7"/>
    <col width="8" customWidth="1" min="8" max="8"/>
  </cols>
  <sheetData>
    <row r="1" ht="28" customHeight="1">
      <c r="A1" s="4" t="inlineStr">
        <is>
          <t>現金出納帳 兼 金庫確認表(週1枚)  ※記入例</t>
        </is>
      </c>
    </row>
    <row r="3" ht="22" customHeight="1">
      <c r="A3" s="5" t="inlineStr">
        <is>
          <t>期間</t>
        </is>
      </c>
      <c r="B3" s="6" t="inlineStr">
        <is>
          <t>2026/9/1(月)〜 9/7(日)</t>
        </is>
      </c>
      <c r="C3" s="7" t="n"/>
      <c r="D3" s="5" t="inlineStr">
        <is>
          <t>先週からの繰越</t>
        </is>
      </c>
      <c r="E3" s="7" t="n"/>
      <c r="F3" s="8" t="n">
        <v>150000</v>
      </c>
      <c r="G3" s="7" t="n"/>
      <c r="H3" s="9" t="inlineStr">
        <is>
          <t>円</t>
        </is>
      </c>
    </row>
    <row r="5">
      <c r="A5" s="10" t="inlineStr">
        <is>
          <t>1. お金を出し入れしたら、その場で1行記入(入金と出金は別の列に書く)</t>
        </is>
      </c>
    </row>
    <row r="6" ht="26" customHeight="1">
      <c r="A6" s="11" t="inlineStr">
        <is>
          <t>日付</t>
        </is>
      </c>
      <c r="B6" s="11" t="inlineStr">
        <is>
          <t>区分
売預買他</t>
        </is>
      </c>
      <c r="C6" s="11" t="inlineStr">
        <is>
          <t>内容・取引先</t>
        </is>
      </c>
      <c r="D6" s="11" t="inlineStr">
        <is>
          <t>担当</t>
        </is>
      </c>
      <c r="E6" s="11" t="inlineStr">
        <is>
          <t>入金(+)</t>
        </is>
      </c>
      <c r="F6" s="11" t="inlineStr">
        <is>
          <t>出金(−)</t>
        </is>
      </c>
      <c r="G6" s="11" t="inlineStr">
        <is>
          <t>レシ
ート</t>
        </is>
      </c>
      <c r="H6" s="11" t="inlineStr">
        <is>
          <t>確認</t>
        </is>
      </c>
    </row>
    <row r="7" ht="20" customHeight="1">
      <c r="A7" s="12" t="inlineStr">
        <is>
          <t>9/1</t>
        </is>
      </c>
      <c r="B7" s="12" t="inlineStr">
        <is>
          <t>買</t>
        </is>
      </c>
      <c r="C7" s="14" t="inlineStr">
        <is>
          <t>コインランドリー</t>
        </is>
      </c>
      <c r="D7" s="12" t="inlineStr">
        <is>
          <t>山田</t>
        </is>
      </c>
      <c r="E7" s="15" t="n"/>
      <c r="F7" s="15" t="n">
        <v>500</v>
      </c>
      <c r="G7" s="12" t="inlineStr">
        <is>
          <t>✓</t>
        </is>
      </c>
      <c r="H7" s="16" t="n"/>
    </row>
    <row r="8" ht="20" customHeight="1">
      <c r="A8" s="12" t="inlineStr">
        <is>
          <t>9/2</t>
        </is>
      </c>
      <c r="B8" s="12" t="inlineStr">
        <is>
          <t>売</t>
        </is>
      </c>
      <c r="C8" s="14" t="inlineStr">
        <is>
          <t>A社 ケータリング代</t>
        </is>
      </c>
      <c r="D8" s="12" t="inlineStr">
        <is>
          <t>佐藤</t>
        </is>
      </c>
      <c r="E8" s="15" t="n">
        <v>30000</v>
      </c>
      <c r="F8" s="15" t="n"/>
      <c r="G8" s="12" t="inlineStr">
        <is>
          <t>―</t>
        </is>
      </c>
      <c r="H8" s="16" t="n"/>
    </row>
    <row r="9" ht="20" customHeight="1">
      <c r="A9" s="12" t="inlineStr">
        <is>
          <t>9/2</t>
        </is>
      </c>
      <c r="B9" s="12" t="inlineStr">
        <is>
          <t>買</t>
        </is>
      </c>
      <c r="C9" s="14" t="inlineStr">
        <is>
          <t>氷</t>
        </is>
      </c>
      <c r="D9" s="12" t="inlineStr">
        <is>
          <t>鈴木</t>
        </is>
      </c>
      <c r="E9" s="15" t="n"/>
      <c r="F9" s="15" t="n">
        <v>308</v>
      </c>
      <c r="G9" s="12" t="inlineStr">
        <is>
          <t>✓</t>
        </is>
      </c>
      <c r="H9" s="16" t="n"/>
    </row>
    <row r="10" ht="20" customHeight="1">
      <c r="A10" s="12" t="inlineStr">
        <is>
          <t>9/3</t>
        </is>
      </c>
      <c r="B10" s="12" t="inlineStr">
        <is>
          <t>買</t>
        </is>
      </c>
      <c r="C10" s="14" t="inlineStr">
        <is>
          <t>コインランドリー</t>
        </is>
      </c>
      <c r="D10" s="12" t="inlineStr">
        <is>
          <t>山田</t>
        </is>
      </c>
      <c r="E10" s="15" t="n"/>
      <c r="F10" s="15" t="n">
        <v>1300</v>
      </c>
      <c r="G10" s="12" t="inlineStr">
        <is>
          <t>✓</t>
        </is>
      </c>
      <c r="H10" s="16" t="n"/>
    </row>
    <row r="11" ht="20" customHeight="1">
      <c r="A11" s="12" t="inlineStr">
        <is>
          <t>9/3</t>
        </is>
      </c>
      <c r="B11" s="12" t="inlineStr">
        <is>
          <t>買</t>
        </is>
      </c>
      <c r="C11" s="14" t="inlineStr">
        <is>
          <t>消耗品(ドラッグストア)</t>
        </is>
      </c>
      <c r="D11" s="12" t="inlineStr">
        <is>
          <t>田中</t>
        </is>
      </c>
      <c r="E11" s="15" t="n"/>
      <c r="F11" s="15" t="n">
        <v>9240</v>
      </c>
      <c r="G11" s="12" t="inlineStr">
        <is>
          <t>✓</t>
        </is>
      </c>
      <c r="H11" s="16" t="n"/>
    </row>
    <row r="12" ht="20" customHeight="1">
      <c r="A12" s="12" t="inlineStr">
        <is>
          <t>9/4</t>
        </is>
      </c>
      <c r="B12" s="12" t="inlineStr">
        <is>
          <t>売</t>
        </is>
      </c>
      <c r="C12" s="14" t="inlineStr">
        <is>
          <t>B社 オードブル代</t>
        </is>
      </c>
      <c r="D12" s="12" t="inlineStr">
        <is>
          <t>佐藤</t>
        </is>
      </c>
      <c r="E12" s="15" t="n">
        <v>44400</v>
      </c>
      <c r="F12" s="15" t="n"/>
      <c r="G12" s="12" t="inlineStr">
        <is>
          <t>―</t>
        </is>
      </c>
      <c r="H12" s="16" t="n"/>
    </row>
    <row r="13" ht="20" customHeight="1">
      <c r="A13" s="12" t="inlineStr">
        <is>
          <t>9/5</t>
        </is>
      </c>
      <c r="B13" s="12" t="inlineStr">
        <is>
          <t>買</t>
        </is>
      </c>
      <c r="C13" s="14" t="inlineStr">
        <is>
          <t>業務スーパー</t>
        </is>
      </c>
      <c r="D13" s="12" t="inlineStr">
        <is>
          <t>山田</t>
        </is>
      </c>
      <c r="E13" s="15" t="n"/>
      <c r="F13" s="15" t="n">
        <v>594</v>
      </c>
      <c r="G13" s="12" t="inlineStr">
        <is>
          <t>✓</t>
        </is>
      </c>
      <c r="H13" s="16" t="n"/>
    </row>
    <row r="14" ht="20" customHeight="1">
      <c r="A14" s="12" t="inlineStr">
        <is>
          <t>9/6</t>
        </is>
      </c>
      <c r="B14" s="12" t="inlineStr">
        <is>
          <t>買</t>
        </is>
      </c>
      <c r="C14" s="14" t="inlineStr">
        <is>
          <t>駐車場代</t>
        </is>
      </c>
      <c r="D14" s="12" t="inlineStr">
        <is>
          <t>鈴木</t>
        </is>
      </c>
      <c r="E14" s="15" t="n"/>
      <c r="F14" s="15" t="n">
        <v>600</v>
      </c>
      <c r="G14" s="12" t="inlineStr">
        <is>
          <t>✓</t>
        </is>
      </c>
      <c r="H14" s="16" t="n"/>
    </row>
    <row r="15" ht="20" customHeight="1">
      <c r="A15" s="12" t="n"/>
      <c r="B15" s="13" t="inlineStr">
        <is>
          <t>売・預・買・他</t>
        </is>
      </c>
      <c r="C15" s="14" t="n"/>
      <c r="D15" s="12" t="n"/>
      <c r="E15" s="15" t="n"/>
      <c r="F15" s="15" t="n"/>
      <c r="G15" s="12" t="n"/>
      <c r="H15" s="16" t="n"/>
    </row>
    <row r="16" ht="20" customHeight="1">
      <c r="A16" s="12" t="n"/>
      <c r="B16" s="13" t="inlineStr">
        <is>
          <t>売・預・買・他</t>
        </is>
      </c>
      <c r="C16" s="14" t="n"/>
      <c r="D16" s="12" t="n"/>
      <c r="E16" s="15" t="n"/>
      <c r="F16" s="15" t="n"/>
      <c r="G16" s="12" t="n"/>
      <c r="H16" s="16" t="n"/>
    </row>
    <row r="17" ht="20" customHeight="1">
      <c r="A17" s="12" t="n"/>
      <c r="B17" s="13" t="inlineStr">
        <is>
          <t>売・預・買・他</t>
        </is>
      </c>
      <c r="C17" s="14" t="n"/>
      <c r="D17" s="12" t="n"/>
      <c r="E17" s="15" t="n"/>
      <c r="F17" s="15" t="n"/>
      <c r="G17" s="12" t="n"/>
      <c r="H17" s="16" t="n"/>
    </row>
    <row r="18" ht="20" customHeight="1">
      <c r="A18" s="12" t="n"/>
      <c r="B18" s="13" t="inlineStr">
        <is>
          <t>売・預・買・他</t>
        </is>
      </c>
      <c r="C18" s="14" t="n"/>
      <c r="D18" s="12" t="n"/>
      <c r="E18" s="15" t="n"/>
      <c r="F18" s="15" t="n"/>
      <c r="G18" s="12" t="n"/>
      <c r="H18" s="16" t="n"/>
    </row>
    <row r="19" ht="20" customHeight="1">
      <c r="A19" s="12" t="n"/>
      <c r="B19" s="13" t="inlineStr">
        <is>
          <t>売・預・買・他</t>
        </is>
      </c>
      <c r="C19" s="14" t="n"/>
      <c r="D19" s="12" t="n"/>
      <c r="E19" s="15" t="n"/>
      <c r="F19" s="15" t="n"/>
      <c r="G19" s="12" t="n"/>
      <c r="H19" s="16" t="n"/>
    </row>
    <row r="20" ht="20" customHeight="1">
      <c r="A20" s="12" t="n"/>
      <c r="B20" s="13" t="inlineStr">
        <is>
          <t>売・預・買・他</t>
        </is>
      </c>
      <c r="C20" s="14" t="n"/>
      <c r="D20" s="12" t="n"/>
      <c r="E20" s="15" t="n"/>
      <c r="F20" s="15" t="n"/>
      <c r="G20" s="12" t="n"/>
      <c r="H20" s="16" t="n"/>
    </row>
    <row r="21" ht="20" customHeight="1">
      <c r="A21" s="12" t="n"/>
      <c r="B21" s="13" t="inlineStr">
        <is>
          <t>売・預・買・他</t>
        </is>
      </c>
      <c r="C21" s="14" t="n"/>
      <c r="D21" s="12" t="n"/>
      <c r="E21" s="15" t="n"/>
      <c r="F21" s="15" t="n"/>
      <c r="G21" s="12" t="n"/>
      <c r="H21" s="16" t="n"/>
    </row>
    <row r="22" ht="20" customHeight="1">
      <c r="A22" s="12" t="n"/>
      <c r="B22" s="13" t="inlineStr">
        <is>
          <t>売・預・買・他</t>
        </is>
      </c>
      <c r="C22" s="14" t="n"/>
      <c r="D22" s="12" t="n"/>
      <c r="E22" s="15" t="n"/>
      <c r="F22" s="15" t="n"/>
      <c r="G22" s="12" t="n"/>
      <c r="H22" s="16" t="n"/>
    </row>
    <row r="23" ht="20" customHeight="1">
      <c r="A23" s="12" t="n"/>
      <c r="B23" s="13" t="inlineStr">
        <is>
          <t>売・預・買・他</t>
        </is>
      </c>
      <c r="C23" s="14" t="n"/>
      <c r="D23" s="12" t="n"/>
      <c r="E23" s="15" t="n"/>
      <c r="F23" s="15" t="n"/>
      <c r="G23" s="12" t="n"/>
      <c r="H23" s="16" t="n"/>
    </row>
    <row r="24" ht="20" customHeight="1">
      <c r="A24" s="12" t="n"/>
      <c r="B24" s="13" t="inlineStr">
        <is>
          <t>売・預・買・他</t>
        </is>
      </c>
      <c r="C24" s="14" t="n"/>
      <c r="D24" s="12" t="n"/>
      <c r="E24" s="15" t="n"/>
      <c r="F24" s="15" t="n"/>
      <c r="G24" s="12" t="n"/>
      <c r="H24" s="16" t="n"/>
    </row>
    <row r="25" ht="20" customHeight="1">
      <c r="A25" s="5" t="inlineStr">
        <is>
          <t>今週の合計</t>
        </is>
      </c>
      <c r="B25" s="17" t="n"/>
      <c r="C25" s="17" t="n"/>
      <c r="D25" s="7" t="n"/>
      <c r="E25" s="8">
        <f>SUM(E7:E24)</f>
        <v/>
      </c>
      <c r="F25" s="8">
        <f>SUM(F7:F24)</f>
        <v/>
      </c>
      <c r="G25" s="18" t="n"/>
      <c r="H25" s="7" t="n"/>
    </row>
    <row r="27">
      <c r="A27" s="10" t="inlineStr">
        <is>
          <t>2. 週1回、2人で金庫の現金を数える(金種ごとの枚数を記入)</t>
        </is>
      </c>
    </row>
    <row r="28">
      <c r="A28" s="19" t="inlineStr">
        <is>
          <t>金種</t>
        </is>
      </c>
      <c r="B28" s="19" t="inlineStr">
        <is>
          <t>枚数</t>
        </is>
      </c>
      <c r="C28" s="19" t="inlineStr">
        <is>
          <t>金額(円)</t>
        </is>
      </c>
      <c r="D28" s="19" t="inlineStr">
        <is>
          <t>金種</t>
        </is>
      </c>
      <c r="E28" s="19" t="inlineStr">
        <is>
          <t>枚数</t>
        </is>
      </c>
      <c r="F28" s="19" t="inlineStr">
        <is>
          <t>金額(円)</t>
        </is>
      </c>
    </row>
    <row r="29" ht="19" customHeight="1">
      <c r="A29" s="20" t="inlineStr">
        <is>
          <t>10,000円札</t>
        </is>
      </c>
      <c r="B29" s="21" t="n">
        <v>17</v>
      </c>
      <c r="C29" s="22">
        <f>10000*B29</f>
        <v/>
      </c>
      <c r="D29" s="20" t="inlineStr">
        <is>
          <t>50円玉</t>
        </is>
      </c>
      <c r="E29" s="21" t="n">
        <v>10</v>
      </c>
      <c r="F29" s="22">
        <f>50*E29</f>
        <v/>
      </c>
    </row>
    <row r="30" ht="19" customHeight="1">
      <c r="A30" s="20" t="inlineStr">
        <is>
          <t>5,000円札</t>
        </is>
      </c>
      <c r="B30" s="21" t="n">
        <v>4</v>
      </c>
      <c r="C30" s="22">
        <f>5000*B30</f>
        <v/>
      </c>
      <c r="D30" s="20" t="inlineStr">
        <is>
          <t>10円玉</t>
        </is>
      </c>
      <c r="E30" s="21" t="n">
        <v>30</v>
      </c>
      <c r="F30" s="22">
        <f>10*E30</f>
        <v/>
      </c>
    </row>
    <row r="31" ht="19" customHeight="1">
      <c r="A31" s="20" t="inlineStr">
        <is>
          <t>1,000円札</t>
        </is>
      </c>
      <c r="B31" s="21" t="n">
        <v>15</v>
      </c>
      <c r="C31" s="22">
        <f>1000*B31</f>
        <v/>
      </c>
      <c r="D31" s="20" t="inlineStr">
        <is>
          <t>5円玉</t>
        </is>
      </c>
      <c r="E31" s="21" t="n">
        <v>8</v>
      </c>
      <c r="F31" s="22">
        <f>5*E31</f>
        <v/>
      </c>
    </row>
    <row r="32" ht="19" customHeight="1">
      <c r="A32" s="20" t="inlineStr">
        <is>
          <t>500円玉</t>
        </is>
      </c>
      <c r="B32" s="21" t="n">
        <v>8</v>
      </c>
      <c r="C32" s="22">
        <f>500*B32</f>
        <v/>
      </c>
      <c r="D32" s="20" t="inlineStr">
        <is>
          <t>1円玉</t>
        </is>
      </c>
      <c r="E32" s="21" t="n">
        <v>18</v>
      </c>
      <c r="F32" s="22">
        <f>1*E32</f>
        <v/>
      </c>
    </row>
    <row r="33" ht="19" customHeight="1">
      <c r="A33" s="20" t="inlineStr">
        <is>
          <t>100円玉</t>
        </is>
      </c>
      <c r="B33" s="21" t="n">
        <v>20</v>
      </c>
      <c r="C33" s="22">
        <f>100*B33</f>
        <v/>
      </c>
    </row>
    <row r="35">
      <c r="A35" s="10" t="inlineStr">
        <is>
          <t>3. 帳簿の残高と実際の金額を比べる</t>
        </is>
      </c>
    </row>
    <row r="36" ht="19" customHeight="1">
      <c r="A36" s="23" t="inlineStr">
        <is>
          <t>① 先週からの繰越</t>
        </is>
      </c>
      <c r="B36" s="17" t="n"/>
      <c r="C36" s="7" t="n"/>
      <c r="D36" s="8">
        <f>F3</f>
        <v/>
      </c>
      <c r="E36" s="24" t="inlineStr">
        <is>
          <t>・⑥が0でなければ下の「差額の原因」を記入し、当日中に責任者へ報告
・⑨は必ず150,000円になる。来週の用紙の「繰越」は印字済み
・銀行へ入金したら、その控えをこの用紙に貼る</t>
        </is>
      </c>
    </row>
    <row r="37" ht="19" customHeight="1">
      <c r="A37" s="23" t="inlineStr">
        <is>
          <t>② 今週の入金合計</t>
        </is>
      </c>
      <c r="B37" s="17" t="n"/>
      <c r="C37" s="7" t="n"/>
      <c r="D37" s="8">
        <f>E25</f>
        <v/>
      </c>
    </row>
    <row r="38" ht="19" customHeight="1">
      <c r="A38" s="23" t="inlineStr">
        <is>
          <t>③ 今週の出金合計</t>
        </is>
      </c>
      <c r="B38" s="17" t="n"/>
      <c r="C38" s="7" t="n"/>
      <c r="D38" s="8">
        <f>F25</f>
        <v/>
      </c>
    </row>
    <row r="39" ht="19" customHeight="1">
      <c r="A39" s="23" t="inlineStr">
        <is>
          <t>④ 帳簿の残高(①+②−③)</t>
        </is>
      </c>
      <c r="B39" s="17" t="n"/>
      <c r="C39" s="7" t="n"/>
      <c r="D39" s="8">
        <f>IF(COUNT(E7:F24)=0,"",D36+D37-D38)</f>
        <v/>
      </c>
    </row>
    <row r="40" ht="19" customHeight="1">
      <c r="A40" s="23" t="inlineStr">
        <is>
          <t>⑤ 実際に数えた金額(2の合計)</t>
        </is>
      </c>
      <c r="B40" s="17" t="n"/>
      <c r="C40" s="7" t="n"/>
      <c r="D40" s="8">
        <f>IF(COUNT(B29:B33,E29:E32)=0,"",SUM(C29:C33)+SUM(F29:F32))</f>
        <v/>
      </c>
    </row>
    <row r="41" ht="19" customHeight="1">
      <c r="A41" s="23" t="inlineStr">
        <is>
          <t>⑥ 差額(⑤−④)</t>
        </is>
      </c>
      <c r="B41" s="17" t="n"/>
      <c r="C41" s="7" t="n"/>
      <c r="D41" s="25">
        <f>IF(OR(D39="",D40=""),"",D40-D39)</f>
        <v/>
      </c>
      <c r="E41" s="19" t="inlineStr">
        <is>
          <t>数えた人</t>
        </is>
      </c>
      <c r="F41" s="19" t="inlineStr">
        <is>
          <t>立会い</t>
        </is>
      </c>
      <c r="G41" s="19" t="inlineStr">
        <is>
          <t>責任者</t>
        </is>
      </c>
    </row>
    <row r="42" ht="19" customHeight="1">
      <c r="A42" s="23" t="inlineStr">
        <is>
          <t>⑦ 銀行へ入金(⑤が150,000円を超えた分)</t>
        </is>
      </c>
      <c r="B42" s="17" t="n"/>
      <c r="C42" s="7" t="n"/>
      <c r="D42" s="26" t="n">
        <v>61858</v>
      </c>
      <c r="E42" s="18" t="n"/>
      <c r="F42" s="18" t="n"/>
      <c r="G42" s="18" t="n"/>
    </row>
    <row r="43" ht="19" customHeight="1">
      <c r="A43" s="23" t="inlineStr">
        <is>
          <t>⑧ 補充(⑤が150,000円に足りない分)</t>
        </is>
      </c>
      <c r="B43" s="17" t="n"/>
      <c r="C43" s="7" t="n"/>
      <c r="D43" s="26" t="n"/>
      <c r="E43" s="27" t="n"/>
      <c r="F43" s="27" t="n"/>
      <c r="G43" s="27" t="n"/>
    </row>
    <row r="44" ht="19" customHeight="1">
      <c r="A44" s="23" t="inlineStr">
        <is>
          <t>⑨ 来週への繰越(⑤−⑦+⑧)</t>
        </is>
      </c>
      <c r="B44" s="17" t="n"/>
      <c r="C44" s="7" t="n"/>
      <c r="D44" s="8">
        <f>IF(D40="","",D40-D42+D43)</f>
        <v/>
      </c>
      <c r="E44" s="28" t="n"/>
      <c r="F44" s="28" t="n"/>
      <c r="G44" s="28" t="n"/>
    </row>
    <row r="46" ht="34" customHeight="1">
      <c r="A46" s="11" t="inlineStr">
        <is>
          <t>差額の原因</t>
        </is>
      </c>
      <c r="B46" s="29" t="n"/>
      <c r="C46" s="17" t="n"/>
      <c r="D46" s="17" t="n"/>
      <c r="E46" s="17" t="n"/>
      <c r="F46" s="17" t="n"/>
      <c r="G46" s="17" t="n"/>
      <c r="H46" s="7" t="n"/>
    </row>
  </sheetData>
  <mergeCells count="23">
    <mergeCell ref="A41:C41"/>
    <mergeCell ref="A37:C37"/>
    <mergeCell ref="B3:C3"/>
    <mergeCell ref="A1:H1"/>
    <mergeCell ref="F3:G3"/>
    <mergeCell ref="A42:C42"/>
    <mergeCell ref="A27:H27"/>
    <mergeCell ref="A43:C43"/>
    <mergeCell ref="A38:C38"/>
    <mergeCell ref="E42:E44"/>
    <mergeCell ref="B46:H46"/>
    <mergeCell ref="A44:C44"/>
    <mergeCell ref="E36:H39"/>
    <mergeCell ref="A40:C40"/>
    <mergeCell ref="G42:G44"/>
    <mergeCell ref="A25:D25"/>
    <mergeCell ref="A39:C39"/>
    <mergeCell ref="A5:H5"/>
    <mergeCell ref="D3:E3"/>
    <mergeCell ref="A36:C36"/>
    <mergeCell ref="A35:H35"/>
    <mergeCell ref="G25:H25"/>
    <mergeCell ref="F42:F44"/>
  </mergeCells>
  <printOptions horizontalCentered="1"/>
  <pageMargins left="0.45" right="0.45" top="0.5" bottom="0.5" header="0.5" footer="0.5"/>
  <pageSetup orientation="portrait" paperSize="9" fitToHeight="1" fitToWidth="1"/>
  <headerFooter>
    <oddHeader/>
    <oddFooter>&amp;C&amp;8 黄色の欄を記入。書き間違いは二重線+確認者の印(消さない・塗りつぶさない)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2026-09-27T06:41:55Z</dcterms:created>
  <dcterms:modified xsi:type="dcterms:W3CDTF">2026-09-27T06:41:56Z</dcterms:modified>
</cp:coreProperties>
</file>