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使い方" sheetId="1" state="visible" r:id="rId1"/>
    <sheet name="確認表(印刷用)" sheetId="2" state="visible" r:id="rId2"/>
    <sheet name="記入例" sheetId="3" state="visible" r:id="rId3"/>
  </sheets>
  <definedNames>
    <definedName name="_xlnm.Print_Area" localSheetId="1">'確認表(印刷用)'!$A$1:$H$47</definedName>
    <definedName name="_xlnm.Print_Area" localSheetId="2">'記入例'!$A$1:$H$47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;&quot;&quot;"/>
    <numFmt numFmtId="165" formatCode="#,##0;[Red]-#,##0;0"/>
    <numFmt numFmtId="166" formatCode="#,##0;-#,##0;&quot;&quot;"/>
  </numFmts>
  <fonts count="10">
    <font>
      <name val="Calibri"/>
      <family val="2"/>
      <color theme="1"/>
      <sz val="11"/>
      <scheme val="minor"/>
    </font>
    <font>
      <name val="Arial"/>
      <b val="1"/>
      <color rgb="00000000"/>
      <sz val="14"/>
    </font>
    <font>
      <name val="Arial"/>
      <color rgb="00000000"/>
      <sz val="11"/>
    </font>
    <font>
      <name val="Arial"/>
      <b val="1"/>
      <color rgb="00000000"/>
      <sz val="11"/>
    </font>
    <font>
      <name val="Arial"/>
      <b val="1"/>
      <color rgb="00000000"/>
      <sz val="15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595959"/>
      <sz val="8"/>
    </font>
    <font>
      <name val="Arial"/>
      <b val="1"/>
      <color rgb="00000000"/>
      <sz val="9"/>
    </font>
    <font>
      <name val="Arial"/>
      <color rgb="00000000"/>
      <sz val="9"/>
    </font>
  </fonts>
  <fills count="5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FF2CC"/>
      </patternFill>
    </fill>
    <fill>
      <patternFill patternType="solid">
        <fgColor rgb="00DDEBF7"/>
      </patternFill>
    </fill>
  </fills>
  <borders count="6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/>
      <right/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0" fillId="0" borderId="4" pivotButton="0" quotePrefix="0" xfId="0"/>
    <xf numFmtId="0" fontId="7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/>
    </xf>
    <xf numFmtId="0" fontId="8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164" fontId="6" fillId="3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4" fontId="5" fillId="0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horizontal="center" vertical="center"/>
    </xf>
    <xf numFmtId="166" fontId="6" fillId="3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4" fontId="5" fillId="4" borderId="1" applyAlignment="1" pivotButton="0" quotePrefix="0" xfId="0">
      <alignment horizontal="right" vertical="center"/>
    </xf>
    <xf numFmtId="0" fontId="9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0" fillId="0" borderId="5" pivotButton="0" quotePrefix="0" xfId="0"/>
    <xf numFmtId="0" fontId="6" fillId="0" borderId="1" applyAlignment="1" pivotButton="0" quotePrefix="0" xfId="0">
      <alignment horizontal="left" vertical="center"/>
    </xf>
    <xf numFmtId="0" fontId="8" fillId="2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left" vertical="center"/>
    </xf>
    <xf numFmtId="0" fontId="8" fillId="2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金庫確認表の使い方</t>
        </is>
      </c>
    </row>
    <row r="2">
      <c r="A2" s="2" t="inlineStr"/>
    </row>
    <row r="3">
      <c r="A3" s="3" t="inlineStr">
        <is>
          <t>金庫の中身は3つに分ける</t>
        </is>
      </c>
    </row>
    <row r="4">
      <c r="A4" s="2" t="inlineStr">
        <is>
          <t>・釣銭ポーチ: 10,000円 × 5個。現場に持っていくお釣り。支払いには使わない。</t>
        </is>
      </c>
    </row>
    <row r="5">
      <c r="A5" s="2" t="inlineStr">
        <is>
          <t>・金庫金: 購入の現金払いに使うお金。基準額 100,000円。減った分は銀行から引き出して補充する。</t>
        </is>
      </c>
    </row>
    <row r="6">
      <c r="A6" s="2" t="inlineStr">
        <is>
          <t>・売上封筒: ケータリング・オードブルの現金売上。茶封筒に入れて保管し、全額を銀行へ入金する。</t>
        </is>
      </c>
    </row>
    <row r="7">
      <c r="A7" s="2" t="inlineStr"/>
    </row>
    <row r="8">
      <c r="A8" s="3" t="inlineStr">
        <is>
          <t>毎回(お金を出し入れしたとき)</t>
        </is>
      </c>
    </row>
    <row r="9">
      <c r="A9" s="2" t="inlineStr">
        <is>
          <t>・紙には書かず、スマホのフォーム(大阪GB 現金出納帳)から登録する。処理区分は5つから選ぶ。</t>
        </is>
      </c>
    </row>
    <row r="10">
      <c r="A10" s="2" t="inlineStr">
        <is>
          <t>・売上封筒には、受取日・相手先・金額・担当者を書く。銀行へ行くときは封筒を全部入金する。</t>
        </is>
      </c>
    </row>
    <row r="11">
      <c r="A11" s="2" t="inlineStr"/>
    </row>
    <row r="12">
      <c r="A12" s="3" t="inlineStr">
        <is>
          <t>週1回(月曜)</t>
        </is>
      </c>
    </row>
    <row r="13">
      <c r="A13" s="2" t="inlineStr">
        <is>
          <t>1. 月曜朝に届くメール「【金庫確認】あるはずの金額」の数字を、この表の青い欄に書き写す。</t>
        </is>
      </c>
    </row>
    <row r="14">
      <c r="A14" s="2" t="inlineStr">
        <is>
          <t>2. 2人で、ポーチ・金庫金・売上封筒の順に数え、黄色の欄に書く。</t>
        </is>
      </c>
    </row>
    <row r="15">
      <c r="A15" s="2" t="inlineStr">
        <is>
          <t>3. 差額が1円でもあれば原因を書き、当日中に責任者へ報告。登録漏れならフォームで追加登録する。</t>
        </is>
      </c>
    </row>
    <row r="16">
      <c r="A16" s="2" t="inlineStr">
        <is>
          <t>4. 責任者が押印し、ファイルに綴じて1年間保管する。</t>
        </is>
      </c>
    </row>
    <row r="17">
      <c r="A17" s="2" t="inlineStr"/>
    </row>
    <row r="18">
      <c r="A18" s="3" t="inlineStr">
        <is>
          <t>ルール</t>
        </is>
      </c>
    </row>
    <row r="19">
      <c r="A19" s="2" t="inlineStr">
        <is>
          <t>・数える人は毎週交代する(同じ人に固定しない)。</t>
        </is>
      </c>
    </row>
    <row r="20">
      <c r="A20" s="2" t="inlineStr">
        <is>
          <t>・売上封筒のお金で直接支払わない。金庫金へ移すときは「振替(売上封筒から金庫金へ)」で登録する。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47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12" customWidth="1" min="3" max="3"/>
    <col width="12" customWidth="1" min="4" max="4"/>
    <col width="11" customWidth="1" min="5" max="5"/>
    <col width="12" customWidth="1" min="6" max="6"/>
    <col width="12" customWidth="1" min="7" max="7"/>
    <col width="10" customWidth="1" min="8" max="8"/>
  </cols>
  <sheetData>
    <row r="1" ht="28" customHeight="1">
      <c r="A1" s="4" t="inlineStr">
        <is>
          <t>金庫確認表(週1回)</t>
        </is>
      </c>
    </row>
    <row r="3" ht="26" customHeight="1">
      <c r="A3" s="5" t="inlineStr">
        <is>
          <t>実施日</t>
        </is>
      </c>
      <c r="B3" s="6" t="n"/>
      <c r="C3" s="7" t="n"/>
      <c r="D3" s="5" t="inlineStr">
        <is>
          <t>数えた人</t>
        </is>
      </c>
      <c r="E3" s="6" t="n"/>
      <c r="F3" s="5" t="inlineStr">
        <is>
          <t>立会い</t>
        </is>
      </c>
      <c r="G3" s="6" t="n"/>
      <c r="H3" s="7" t="n"/>
    </row>
    <row r="4">
      <c r="A4" s="8" t="inlineStr">
        <is>
          <t>青い欄は、月曜朝の「【金庫確認】あるはずの金額」メール(または「現金残高」シート)から書き写してから数える。黄色の欄は数えた結果を書く。</t>
        </is>
      </c>
    </row>
    <row r="6" ht="20" customHeight="1">
      <c r="A6" s="9" t="inlineStr">
        <is>
          <t>1. 釣銭ポーチ(10,000円 × 5個)</t>
        </is>
      </c>
    </row>
    <row r="7">
      <c r="A7" s="10" t="inlineStr">
        <is>
          <t>ポーチ</t>
        </is>
      </c>
      <c r="B7" s="10" t="inlineStr">
        <is>
          <t>実際の金額</t>
        </is>
      </c>
      <c r="C7" s="10" t="inlineStr">
        <is>
          <t>差額</t>
        </is>
      </c>
      <c r="D7" s="10" t="inlineStr">
        <is>
          <t>確認</t>
        </is>
      </c>
      <c r="E7" s="8" t="inlineStr">
        <is>
          <t>・ポーチは1個ずつ数え、1万円ちょうどか確認する
・現場に持ち出し中のポーチは「持出中」と書き、戻ったら数える
・1万円を超えた分は売上封筒へ、足りない分は原因を確認
・ポーチのお金を支払いに使わない</t>
        </is>
      </c>
    </row>
    <row r="8" ht="19" customHeight="1">
      <c r="A8" s="11" t="inlineStr">
        <is>
          <t>No.1</t>
        </is>
      </c>
      <c r="B8" s="12" t="n"/>
      <c r="C8" s="13">
        <f>IF(B8="","",B8-10000)</f>
        <v/>
      </c>
      <c r="D8" s="11" t="inlineStr">
        <is>
          <t>□</t>
        </is>
      </c>
    </row>
    <row r="9" ht="19" customHeight="1">
      <c r="A9" s="11" t="inlineStr">
        <is>
          <t>No.2</t>
        </is>
      </c>
      <c r="B9" s="12" t="n"/>
      <c r="C9" s="13">
        <f>IF(B9="","",B9-10000)</f>
        <v/>
      </c>
      <c r="D9" s="11" t="inlineStr">
        <is>
          <t>□</t>
        </is>
      </c>
    </row>
    <row r="10" ht="19" customHeight="1">
      <c r="A10" s="11" t="inlineStr">
        <is>
          <t>No.3</t>
        </is>
      </c>
      <c r="B10" s="12" t="n"/>
      <c r="C10" s="13">
        <f>IF(B10="","",B10-10000)</f>
        <v/>
      </c>
      <c r="D10" s="11" t="inlineStr">
        <is>
          <t>□</t>
        </is>
      </c>
    </row>
    <row r="11" ht="19" customHeight="1">
      <c r="A11" s="11" t="inlineStr">
        <is>
          <t>No.4</t>
        </is>
      </c>
      <c r="B11" s="12" t="n"/>
      <c r="C11" s="13">
        <f>IF(B11="","",B11-10000)</f>
        <v/>
      </c>
      <c r="D11" s="11" t="inlineStr">
        <is>
          <t>□</t>
        </is>
      </c>
    </row>
    <row r="12" ht="19" customHeight="1">
      <c r="A12" s="11" t="inlineStr">
        <is>
          <t>No.5</t>
        </is>
      </c>
      <c r="B12" s="12" t="n"/>
      <c r="C12" s="13">
        <f>IF(B12="","",B12-10000)</f>
        <v/>
      </c>
      <c r="D12" s="11" t="inlineStr">
        <is>
          <t>□</t>
        </is>
      </c>
    </row>
    <row r="13">
      <c r="A13" s="5" t="inlineStr">
        <is>
          <t>合計</t>
        </is>
      </c>
      <c r="B13" s="14">
        <f>SUM(B8:B12)</f>
        <v/>
      </c>
      <c r="C13" s="15">
        <f>IF(COUNT(B8:B12)=0,"",B13-50000)</f>
        <v/>
      </c>
    </row>
    <row r="15" ht="20" customHeight="1">
      <c r="A15" s="9" t="inlineStr">
        <is>
          <t>2. 金庫金(支払い用・基準額 100,000円)</t>
        </is>
      </c>
    </row>
    <row r="16">
      <c r="A16" s="10" t="inlineStr">
        <is>
          <t>金種</t>
        </is>
      </c>
      <c r="B16" s="10" t="inlineStr">
        <is>
          <t>枚数</t>
        </is>
      </c>
      <c r="C16" s="10" t="inlineStr">
        <is>
          <t>金額(円)</t>
        </is>
      </c>
      <c r="D16" s="10" t="inlineStr">
        <is>
          <t>金種</t>
        </is>
      </c>
      <c r="E16" s="10" t="inlineStr">
        <is>
          <t>枚数</t>
        </is>
      </c>
      <c r="F16" s="10" t="inlineStr">
        <is>
          <t>金額(円)</t>
        </is>
      </c>
    </row>
    <row r="17" ht="19" customHeight="1">
      <c r="A17" s="16" t="inlineStr">
        <is>
          <t>10,000円札</t>
        </is>
      </c>
      <c r="B17" s="17" t="n"/>
      <c r="C17" s="18">
        <f>10000*B17</f>
        <v/>
      </c>
      <c r="D17" s="16" t="inlineStr">
        <is>
          <t>50円玉</t>
        </is>
      </c>
      <c r="E17" s="17" t="n"/>
      <c r="F17" s="18">
        <f>50*E17</f>
        <v/>
      </c>
      <c r="G17" s="10" t="inlineStr">
        <is>
          <t>実際の合計</t>
        </is>
      </c>
      <c r="H17" s="14">
        <f>IF(COUNT(B17:B21,E17:E20)=0,"",SUM(C17:C21)+SUM(F17:F20))</f>
        <v/>
      </c>
    </row>
    <row r="18" ht="19" customHeight="1">
      <c r="A18" s="16" t="inlineStr">
        <is>
          <t>5,000円札</t>
        </is>
      </c>
      <c r="B18" s="17" t="n"/>
      <c r="C18" s="18">
        <f>5000*B18</f>
        <v/>
      </c>
      <c r="D18" s="16" t="inlineStr">
        <is>
          <t>10円玉</t>
        </is>
      </c>
      <c r="E18" s="17" t="n"/>
      <c r="F18" s="18">
        <f>10*E18</f>
        <v/>
      </c>
      <c r="G18" s="10" t="inlineStr">
        <is>
          <t>帳簿の金額</t>
        </is>
      </c>
      <c r="H18" s="19" t="n"/>
    </row>
    <row r="19" ht="19" customHeight="1">
      <c r="A19" s="16" t="inlineStr">
        <is>
          <t>1,000円札</t>
        </is>
      </c>
      <c r="B19" s="17" t="n"/>
      <c r="C19" s="18">
        <f>1000*B19</f>
        <v/>
      </c>
      <c r="D19" s="16" t="inlineStr">
        <is>
          <t>5円玉</t>
        </is>
      </c>
      <c r="E19" s="17" t="n"/>
      <c r="F19" s="18">
        <f>5*E19</f>
        <v/>
      </c>
      <c r="G19" s="10" t="inlineStr">
        <is>
          <t>差額</t>
        </is>
      </c>
      <c r="H19" s="15">
        <f>IF(OR(H17="",H18=""),"",H17-H18)</f>
        <v/>
      </c>
    </row>
    <row r="20" ht="19" customHeight="1">
      <c r="A20" s="16" t="inlineStr">
        <is>
          <t>500円玉</t>
        </is>
      </c>
      <c r="B20" s="17" t="n"/>
      <c r="C20" s="18">
        <f>500*B20</f>
        <v/>
      </c>
      <c r="D20" s="16" t="inlineStr">
        <is>
          <t>1円玉</t>
        </is>
      </c>
      <c r="E20" s="17" t="n"/>
      <c r="F20" s="18">
        <f>1*E20</f>
        <v/>
      </c>
      <c r="G20" s="10" t="inlineStr">
        <is>
          <t>補充が必要</t>
        </is>
      </c>
      <c r="H20" s="18">
        <f>IF(H17="","",MAX(0,100000-H17))</f>
        <v/>
      </c>
    </row>
    <row r="21" ht="19" customHeight="1">
      <c r="A21" s="16" t="inlineStr">
        <is>
          <t>100円玉</t>
        </is>
      </c>
      <c r="B21" s="17" t="n"/>
      <c r="C21" s="18">
        <f>100*B21</f>
        <v/>
      </c>
    </row>
    <row r="23" ht="20" customHeight="1">
      <c r="A23" s="9" t="inlineStr">
        <is>
          <t>3. 売上封筒(茶封筒を1件ずつ。帳簿の金額はメールの一覧から書き写す)</t>
        </is>
      </c>
    </row>
    <row r="24">
      <c r="A24" s="10" t="inlineStr">
        <is>
          <t>No.</t>
        </is>
      </c>
      <c r="B24" s="10" t="inlineStr">
        <is>
          <t>受取日</t>
        </is>
      </c>
      <c r="C24" s="10" t="inlineStr">
        <is>
          <t>相手先</t>
        </is>
      </c>
      <c r="D24" s="7" t="n"/>
      <c r="E24" s="10" t="inlineStr">
        <is>
          <t>帳簿の金額</t>
        </is>
      </c>
      <c r="F24" s="10" t="inlineStr">
        <is>
          <t>実際の金額</t>
        </is>
      </c>
      <c r="G24" s="10" t="inlineStr">
        <is>
          <t>差額</t>
        </is>
      </c>
      <c r="H24" s="10" t="inlineStr">
        <is>
          <t>開封確認</t>
        </is>
      </c>
    </row>
    <row r="25" ht="19" customHeight="1">
      <c r="A25" s="16" t="n">
        <v>1</v>
      </c>
      <c r="B25" s="20" t="n"/>
      <c r="C25" s="21" t="n"/>
      <c r="D25" s="7" t="n"/>
      <c r="E25" s="22" t="n"/>
      <c r="F25" s="12" t="n"/>
      <c r="G25" s="13">
        <f>IF(OR(E25="",F25=""),"",F25-E25)</f>
        <v/>
      </c>
      <c r="H25" s="11" t="inlineStr">
        <is>
          <t>□</t>
        </is>
      </c>
    </row>
    <row r="26" ht="19" customHeight="1">
      <c r="A26" s="16" t="n">
        <v>2</v>
      </c>
      <c r="B26" s="20" t="n"/>
      <c r="C26" s="21" t="n"/>
      <c r="D26" s="7" t="n"/>
      <c r="E26" s="22" t="n"/>
      <c r="F26" s="12" t="n"/>
      <c r="G26" s="13">
        <f>IF(OR(E26="",F26=""),"",F26-E26)</f>
        <v/>
      </c>
      <c r="H26" s="11" t="inlineStr">
        <is>
          <t>□</t>
        </is>
      </c>
    </row>
    <row r="27" ht="19" customHeight="1">
      <c r="A27" s="16" t="n">
        <v>3</v>
      </c>
      <c r="B27" s="20" t="n"/>
      <c r="C27" s="21" t="n"/>
      <c r="D27" s="7" t="n"/>
      <c r="E27" s="22" t="n"/>
      <c r="F27" s="12" t="n"/>
      <c r="G27" s="13">
        <f>IF(OR(E27="",F27=""),"",F27-E27)</f>
        <v/>
      </c>
      <c r="H27" s="11" t="inlineStr">
        <is>
          <t>□</t>
        </is>
      </c>
    </row>
    <row r="28" ht="19" customHeight="1">
      <c r="A28" s="16" t="n">
        <v>4</v>
      </c>
      <c r="B28" s="20" t="n"/>
      <c r="C28" s="21" t="n"/>
      <c r="D28" s="7" t="n"/>
      <c r="E28" s="22" t="n"/>
      <c r="F28" s="12" t="n"/>
      <c r="G28" s="13">
        <f>IF(OR(E28="",F28=""),"",F28-E28)</f>
        <v/>
      </c>
      <c r="H28" s="11" t="inlineStr">
        <is>
          <t>□</t>
        </is>
      </c>
    </row>
    <row r="29" ht="19" customHeight="1">
      <c r="A29" s="16" t="n">
        <v>5</v>
      </c>
      <c r="B29" s="20" t="n"/>
      <c r="C29" s="21" t="n"/>
      <c r="D29" s="7" t="n"/>
      <c r="E29" s="22" t="n"/>
      <c r="F29" s="12" t="n"/>
      <c r="G29" s="13">
        <f>IF(OR(E29="",F29=""),"",F29-E29)</f>
        <v/>
      </c>
      <c r="H29" s="11" t="inlineStr">
        <is>
          <t>□</t>
        </is>
      </c>
    </row>
    <row r="30" ht="19" customHeight="1">
      <c r="A30" s="16" t="n">
        <v>6</v>
      </c>
      <c r="B30" s="20" t="n"/>
      <c r="C30" s="21" t="n"/>
      <c r="D30" s="7" t="n"/>
      <c r="E30" s="22" t="n"/>
      <c r="F30" s="12" t="n"/>
      <c r="G30" s="13">
        <f>IF(OR(E30="",F30=""),"",F30-E30)</f>
        <v/>
      </c>
      <c r="H30" s="11" t="inlineStr">
        <is>
          <t>□</t>
        </is>
      </c>
    </row>
    <row r="31" ht="19" customHeight="1">
      <c r="A31" s="16" t="n">
        <v>7</v>
      </c>
      <c r="B31" s="20" t="n"/>
      <c r="C31" s="21" t="n"/>
      <c r="D31" s="7" t="n"/>
      <c r="E31" s="22" t="n"/>
      <c r="F31" s="12" t="n"/>
      <c r="G31" s="13">
        <f>IF(OR(E31="",F31=""),"",F31-E31)</f>
        <v/>
      </c>
      <c r="H31" s="11" t="inlineStr">
        <is>
          <t>□</t>
        </is>
      </c>
    </row>
    <row r="32" ht="19" customHeight="1">
      <c r="A32" s="16" t="n">
        <v>8</v>
      </c>
      <c r="B32" s="20" t="n"/>
      <c r="C32" s="21" t="n"/>
      <c r="D32" s="7" t="n"/>
      <c r="E32" s="22" t="n"/>
      <c r="F32" s="12" t="n"/>
      <c r="G32" s="13">
        <f>IF(OR(E32="",F32=""),"",F32-E32)</f>
        <v/>
      </c>
      <c r="H32" s="11" t="inlineStr">
        <is>
          <t>□</t>
        </is>
      </c>
    </row>
    <row r="33">
      <c r="A33" s="5" t="inlineStr">
        <is>
          <t>合計</t>
        </is>
      </c>
      <c r="B33" s="23" t="n"/>
      <c r="C33" s="23" t="n"/>
      <c r="D33" s="7" t="n"/>
      <c r="E33" s="14">
        <f>SUM(E25:E32)</f>
        <v/>
      </c>
      <c r="F33" s="14">
        <f>SUM(F25:F32)</f>
        <v/>
      </c>
      <c r="G33" s="15">
        <f>IF(COUNT(F25:F32)=0,"",F33-E33)</f>
        <v/>
      </c>
      <c r="H33" s="24" t="n"/>
    </row>
    <row r="35" ht="20" customHeight="1">
      <c r="A35" s="9" t="inlineStr">
        <is>
          <t>4. 金庫全体(1+2+3)</t>
        </is>
      </c>
    </row>
    <row r="36" ht="20" customHeight="1">
      <c r="A36" s="25" t="inlineStr">
        <is>
          <t>実際に数えた合計</t>
        </is>
      </c>
      <c r="B36" s="23" t="n"/>
      <c r="C36" s="7" t="n"/>
      <c r="D36" s="14">
        <f>IF(OR(COUNT(B8:B12)=0,H17=""),"",B13+H17+F33)</f>
        <v/>
      </c>
      <c r="E36" s="8" t="inlineStr">
        <is>
          <t>差額が1円でもあれば下に原因を書き、当日中に責任者へ報告。
原因が分かったら、フォームの登録漏れを追加登録する。</t>
        </is>
      </c>
    </row>
    <row r="37" ht="20" customHeight="1">
      <c r="A37" s="25" t="inlineStr">
        <is>
          <t>あるはずの合計(メールの1行目)</t>
        </is>
      </c>
      <c r="B37" s="23" t="n"/>
      <c r="C37" s="7" t="n"/>
      <c r="D37" s="19" t="n"/>
    </row>
    <row r="38" ht="20" customHeight="1">
      <c r="A38" s="25" t="inlineStr">
        <is>
          <t>差額</t>
        </is>
      </c>
      <c r="B38" s="23" t="n"/>
      <c r="C38" s="7" t="n"/>
      <c r="D38" s="15">
        <f>IF(OR(D36="",D37=""),"",D36-D37)</f>
        <v/>
      </c>
    </row>
    <row r="40" ht="20" customHeight="1">
      <c r="A40" s="9" t="inlineStr">
        <is>
          <t>5. 確認項目(はい/いいえ に○)</t>
        </is>
      </c>
    </row>
    <row r="41" ht="18" customHeight="1">
      <c r="A41" s="26" t="inlineStr">
        <is>
          <t>□ 受け取りから14日を超えた売上封筒はない(あれば次に銀行へ行くとき必ず入金)</t>
        </is>
      </c>
      <c r="B41" s="23" t="n"/>
      <c r="C41" s="23" t="n"/>
      <c r="D41" s="23" t="n"/>
      <c r="E41" s="23" t="n"/>
      <c r="F41" s="7" t="n"/>
      <c r="G41" s="16" t="inlineStr">
        <is>
          <t>はい ・ いいえ</t>
        </is>
      </c>
      <c r="H41" s="7" t="n"/>
    </row>
    <row r="42" ht="18" customHeight="1">
      <c r="A42" s="26" t="inlineStr">
        <is>
          <t>□ すべての封筒に 受取日・相手先・金額・担当者 が書いてある</t>
        </is>
      </c>
      <c r="B42" s="23" t="n"/>
      <c r="C42" s="23" t="n"/>
      <c r="D42" s="23" t="n"/>
      <c r="E42" s="23" t="n"/>
      <c r="F42" s="7" t="n"/>
      <c r="G42" s="16" t="inlineStr">
        <is>
          <t>はい ・ いいえ</t>
        </is>
      </c>
      <c r="H42" s="7" t="n"/>
    </row>
    <row r="43" ht="18" customHeight="1">
      <c r="A43" s="26" t="inlineStr">
        <is>
          <t>□ 今週の支払いのレシートが全部そろっている</t>
        </is>
      </c>
      <c r="B43" s="23" t="n"/>
      <c r="C43" s="23" t="n"/>
      <c r="D43" s="23" t="n"/>
      <c r="E43" s="23" t="n"/>
      <c r="F43" s="7" t="n"/>
      <c r="G43" s="16" t="inlineStr">
        <is>
          <t>はい ・ いいえ</t>
        </is>
      </c>
      <c r="H43" s="7" t="n"/>
    </row>
    <row r="44" ht="18" customHeight="1">
      <c r="A44" s="26" t="inlineStr">
        <is>
          <t>□ 売上封筒のお金を支払いや補充に使っていない</t>
        </is>
      </c>
      <c r="B44" s="23" t="n"/>
      <c r="C44" s="23" t="n"/>
      <c r="D44" s="23" t="n"/>
      <c r="E44" s="23" t="n"/>
      <c r="F44" s="7" t="n"/>
      <c r="G44" s="16" t="inlineStr">
        <is>
          <t>はい ・ いいえ</t>
        </is>
      </c>
      <c r="H44" s="7" t="n"/>
    </row>
    <row r="45" ht="18" customHeight="1">
      <c r="A45" s="26" t="inlineStr">
        <is>
          <t>□ 数えた後、2人で施錠を確認した</t>
        </is>
      </c>
      <c r="B45" s="23" t="n"/>
      <c r="C45" s="23" t="n"/>
      <c r="D45" s="23" t="n"/>
      <c r="E45" s="23" t="n"/>
      <c r="F45" s="7" t="n"/>
      <c r="G45" s="16" t="inlineStr">
        <is>
          <t>はい ・ いいえ</t>
        </is>
      </c>
      <c r="H45" s="7" t="n"/>
    </row>
    <row r="47" ht="40" customHeight="1">
      <c r="A47" s="27" t="inlineStr">
        <is>
          <t>差額の原因
・対応</t>
        </is>
      </c>
      <c r="B47" s="28" t="n"/>
      <c r="C47" s="23" t="n"/>
      <c r="D47" s="23" t="n"/>
      <c r="E47" s="23" t="n"/>
      <c r="F47" s="7" t="n"/>
      <c r="G47" s="10" t="inlineStr">
        <is>
          <t>責任者印</t>
        </is>
      </c>
      <c r="H47" s="24" t="n"/>
    </row>
  </sheetData>
  <mergeCells count="36">
    <mergeCell ref="A41:F41"/>
    <mergeCell ref="G43:H43"/>
    <mergeCell ref="E36:H38"/>
    <mergeCell ref="C24:D24"/>
    <mergeCell ref="A15:H15"/>
    <mergeCell ref="C30:D30"/>
    <mergeCell ref="A37:C37"/>
    <mergeCell ref="B3:C3"/>
    <mergeCell ref="B47:F47"/>
    <mergeCell ref="G42:H42"/>
    <mergeCell ref="A1:H1"/>
    <mergeCell ref="C26:D26"/>
    <mergeCell ref="A6:H6"/>
    <mergeCell ref="C29:D29"/>
    <mergeCell ref="A42:F42"/>
    <mergeCell ref="C25:D25"/>
    <mergeCell ref="E7:H13"/>
    <mergeCell ref="C31:D31"/>
    <mergeCell ref="G3:H3"/>
    <mergeCell ref="A38:C38"/>
    <mergeCell ref="A43:F43"/>
    <mergeCell ref="A44:F44"/>
    <mergeCell ref="C27:D27"/>
    <mergeCell ref="G45:H45"/>
    <mergeCell ref="A23:H23"/>
    <mergeCell ref="A4:H4"/>
    <mergeCell ref="A36:C36"/>
    <mergeCell ref="C32:D32"/>
    <mergeCell ref="A35:H35"/>
    <mergeCell ref="A45:F45"/>
    <mergeCell ref="H17"/>
    <mergeCell ref="G41:H41"/>
    <mergeCell ref="C28:D28"/>
    <mergeCell ref="G44:H44"/>
    <mergeCell ref="A33:D33"/>
    <mergeCell ref="A40:H40"/>
  </mergeCells>
  <printOptions horizontalCentered="1"/>
  <pageMargins left="0.45" right="0.45" top="0.5" bottom="0.5" header="0.5" footer="0.5"/>
  <pageSetup orientation="portrait" paperSize="9" fitToHeight="1" fitToWidth="1"/>
  <headerFooter>
    <oddHeader/>
    <oddFooter>&amp;C&amp;8 記入後は責任者が押印し、ファイルに綴じて1年間保管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47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12" customWidth="1" min="3" max="3"/>
    <col width="12" customWidth="1" min="4" max="4"/>
    <col width="11" customWidth="1" min="5" max="5"/>
    <col width="12" customWidth="1" min="6" max="6"/>
    <col width="12" customWidth="1" min="7" max="7"/>
    <col width="10" customWidth="1" min="8" max="8"/>
  </cols>
  <sheetData>
    <row r="1" ht="28" customHeight="1">
      <c r="A1" s="4" t="inlineStr">
        <is>
          <t>金庫確認表(週1回)  ※記入例</t>
        </is>
      </c>
    </row>
    <row r="3" ht="26" customHeight="1">
      <c r="A3" s="5" t="inlineStr">
        <is>
          <t>実施日</t>
        </is>
      </c>
      <c r="B3" s="6" t="inlineStr">
        <is>
          <t>2026/10/05(月)</t>
        </is>
      </c>
      <c r="C3" s="7" t="n"/>
      <c r="D3" s="5" t="inlineStr">
        <is>
          <t>数えた人</t>
        </is>
      </c>
      <c r="E3" s="6" t="inlineStr">
        <is>
          <t>山田</t>
        </is>
      </c>
      <c r="F3" s="5" t="inlineStr">
        <is>
          <t>立会い</t>
        </is>
      </c>
      <c r="G3" s="6" t="inlineStr">
        <is>
          <t>佐藤</t>
        </is>
      </c>
      <c r="H3" s="7" t="n"/>
    </row>
    <row r="4">
      <c r="A4" s="8" t="inlineStr">
        <is>
          <t>青い欄は、月曜朝の「【金庫確認】あるはずの金額」メール(または「現金残高」シート)から書き写してから数える。黄色の欄は数えた結果を書く。</t>
        </is>
      </c>
    </row>
    <row r="6" ht="20" customHeight="1">
      <c r="A6" s="9" t="inlineStr">
        <is>
          <t>1. 釣銭ポーチ(10,000円 × 5個)</t>
        </is>
      </c>
    </row>
    <row r="7">
      <c r="A7" s="10" t="inlineStr">
        <is>
          <t>ポーチ</t>
        </is>
      </c>
      <c r="B7" s="10" t="inlineStr">
        <is>
          <t>実際の金額</t>
        </is>
      </c>
      <c r="C7" s="10" t="inlineStr">
        <is>
          <t>差額</t>
        </is>
      </c>
      <c r="D7" s="10" t="inlineStr">
        <is>
          <t>確認</t>
        </is>
      </c>
      <c r="E7" s="8" t="inlineStr">
        <is>
          <t>・ポーチは1個ずつ数え、1万円ちょうどか確認する
・現場に持ち出し中のポーチは「持出中」と書き、戻ったら数える
・1万円を超えた分は売上封筒へ、足りない分は原因を確認
・ポーチのお金を支払いに使わない</t>
        </is>
      </c>
    </row>
    <row r="8" ht="19" customHeight="1">
      <c r="A8" s="11" t="inlineStr">
        <is>
          <t>No.1</t>
        </is>
      </c>
      <c r="B8" s="12" t="n">
        <v>10000</v>
      </c>
      <c r="C8" s="13">
        <f>IF(B8="","",B8-10000)</f>
        <v/>
      </c>
      <c r="D8" s="11" t="inlineStr">
        <is>
          <t>✓</t>
        </is>
      </c>
    </row>
    <row r="9" ht="19" customHeight="1">
      <c r="A9" s="11" t="inlineStr">
        <is>
          <t>No.2</t>
        </is>
      </c>
      <c r="B9" s="12" t="n">
        <v>10000</v>
      </c>
      <c r="C9" s="13">
        <f>IF(B9="","",B9-10000)</f>
        <v/>
      </c>
      <c r="D9" s="11" t="inlineStr">
        <is>
          <t>✓</t>
        </is>
      </c>
    </row>
    <row r="10" ht="19" customHeight="1">
      <c r="A10" s="11" t="inlineStr">
        <is>
          <t>No.3</t>
        </is>
      </c>
      <c r="B10" s="12" t="n">
        <v>10000</v>
      </c>
      <c r="C10" s="13">
        <f>IF(B10="","",B10-10000)</f>
        <v/>
      </c>
      <c r="D10" s="11" t="inlineStr">
        <is>
          <t>✓</t>
        </is>
      </c>
    </row>
    <row r="11" ht="19" customHeight="1">
      <c r="A11" s="11" t="inlineStr">
        <is>
          <t>No.4</t>
        </is>
      </c>
      <c r="B11" s="12" t="n">
        <v>10000</v>
      </c>
      <c r="C11" s="13">
        <f>IF(B11="","",B11-10000)</f>
        <v/>
      </c>
      <c r="D11" s="11" t="inlineStr">
        <is>
          <t>✓</t>
        </is>
      </c>
    </row>
    <row r="12" ht="19" customHeight="1">
      <c r="A12" s="11" t="inlineStr">
        <is>
          <t>No.5</t>
        </is>
      </c>
      <c r="B12" s="12" t="n">
        <v>10000</v>
      </c>
      <c r="C12" s="13">
        <f>IF(B12="","",B12-10000)</f>
        <v/>
      </c>
      <c r="D12" s="11" t="inlineStr">
        <is>
          <t>✓</t>
        </is>
      </c>
    </row>
    <row r="13">
      <c r="A13" s="5" t="inlineStr">
        <is>
          <t>合計</t>
        </is>
      </c>
      <c r="B13" s="14">
        <f>SUM(B8:B12)</f>
        <v/>
      </c>
      <c r="C13" s="15">
        <f>IF(COUNT(B8:B12)=0,"",B13-50000)</f>
        <v/>
      </c>
    </row>
    <row r="15" ht="20" customHeight="1">
      <c r="A15" s="9" t="inlineStr">
        <is>
          <t>2. 金庫金(支払い用・基準額 100,000円)</t>
        </is>
      </c>
    </row>
    <row r="16">
      <c r="A16" s="10" t="inlineStr">
        <is>
          <t>金種</t>
        </is>
      </c>
      <c r="B16" s="10" t="inlineStr">
        <is>
          <t>枚数</t>
        </is>
      </c>
      <c r="C16" s="10" t="inlineStr">
        <is>
          <t>金額(円)</t>
        </is>
      </c>
      <c r="D16" s="10" t="inlineStr">
        <is>
          <t>金種</t>
        </is>
      </c>
      <c r="E16" s="10" t="inlineStr">
        <is>
          <t>枚数</t>
        </is>
      </c>
      <c r="F16" s="10" t="inlineStr">
        <is>
          <t>金額(円)</t>
        </is>
      </c>
    </row>
    <row r="17" ht="19" customHeight="1">
      <c r="A17" s="16" t="inlineStr">
        <is>
          <t>10,000円札</t>
        </is>
      </c>
      <c r="B17" s="17" t="n">
        <v>7</v>
      </c>
      <c r="C17" s="18">
        <f>10000*B17</f>
        <v/>
      </c>
      <c r="D17" s="16" t="inlineStr">
        <is>
          <t>50円玉</t>
        </is>
      </c>
      <c r="E17" s="17" t="n">
        <v>2</v>
      </c>
      <c r="F17" s="18">
        <f>50*E17</f>
        <v/>
      </c>
      <c r="G17" s="10" t="inlineStr">
        <is>
          <t>実際の合計</t>
        </is>
      </c>
      <c r="H17" s="14">
        <f>IF(COUNT(B17:B21,E17:E20)=0,"",SUM(C17:C21)+SUM(F17:F20))</f>
        <v/>
      </c>
    </row>
    <row r="18" ht="19" customHeight="1">
      <c r="A18" s="16" t="inlineStr">
        <is>
          <t>5,000円札</t>
        </is>
      </c>
      <c r="B18" s="17" t="n">
        <v>2</v>
      </c>
      <c r="C18" s="18">
        <f>5000*B18</f>
        <v/>
      </c>
      <c r="D18" s="16" t="inlineStr">
        <is>
          <t>10円玉</t>
        </is>
      </c>
      <c r="E18" s="17" t="n">
        <v>5</v>
      </c>
      <c r="F18" s="18">
        <f>10*E18</f>
        <v/>
      </c>
      <c r="G18" s="10" t="inlineStr">
        <is>
          <t>帳簿の金額</t>
        </is>
      </c>
      <c r="H18" s="19" t="n">
        <v>90160</v>
      </c>
    </row>
    <row r="19" ht="19" customHeight="1">
      <c r="A19" s="16" t="inlineStr">
        <is>
          <t>1,000円札</t>
        </is>
      </c>
      <c r="B19" s="17" t="n">
        <v>8</v>
      </c>
      <c r="C19" s="18">
        <f>1000*B19</f>
        <v/>
      </c>
      <c r="D19" s="16" t="inlineStr">
        <is>
          <t>5円玉</t>
        </is>
      </c>
      <c r="E19" s="17" t="n">
        <v>2</v>
      </c>
      <c r="F19" s="18">
        <f>5*E19</f>
        <v/>
      </c>
      <c r="G19" s="10" t="inlineStr">
        <is>
          <t>差額</t>
        </is>
      </c>
      <c r="H19" s="15">
        <f>IF(OR(H17="",H18=""),"",H17-H18)</f>
        <v/>
      </c>
    </row>
    <row r="20" ht="19" customHeight="1">
      <c r="A20" s="16" t="inlineStr">
        <is>
          <t>500円玉</t>
        </is>
      </c>
      <c r="B20" s="17" t="n">
        <v>2</v>
      </c>
      <c r="C20" s="18">
        <f>500*B20</f>
        <v/>
      </c>
      <c r="D20" s="16" t="inlineStr">
        <is>
          <t>1円玉</t>
        </is>
      </c>
      <c r="E20" s="17" t="n">
        <v>0</v>
      </c>
      <c r="F20" s="18">
        <f>1*E20</f>
        <v/>
      </c>
      <c r="G20" s="10" t="inlineStr">
        <is>
          <t>補充が必要</t>
        </is>
      </c>
      <c r="H20" s="18">
        <f>IF(H17="","",MAX(0,100000-H17))</f>
        <v/>
      </c>
    </row>
    <row r="21" ht="19" customHeight="1">
      <c r="A21" s="16" t="inlineStr">
        <is>
          <t>100円玉</t>
        </is>
      </c>
      <c r="B21" s="17" t="n">
        <v>10</v>
      </c>
      <c r="C21" s="18">
        <f>100*B21</f>
        <v/>
      </c>
    </row>
    <row r="23" ht="20" customHeight="1">
      <c r="A23" s="9" t="inlineStr">
        <is>
          <t>3. 売上封筒(茶封筒を1件ずつ。帳簿の金額はメールの一覧から書き写す)</t>
        </is>
      </c>
    </row>
    <row r="24">
      <c r="A24" s="10" t="inlineStr">
        <is>
          <t>No.</t>
        </is>
      </c>
      <c r="B24" s="10" t="inlineStr">
        <is>
          <t>受取日</t>
        </is>
      </c>
      <c r="C24" s="10" t="inlineStr">
        <is>
          <t>相手先</t>
        </is>
      </c>
      <c r="D24" s="7" t="n"/>
      <c r="E24" s="10" t="inlineStr">
        <is>
          <t>帳簿の金額</t>
        </is>
      </c>
      <c r="F24" s="10" t="inlineStr">
        <is>
          <t>実際の金額</t>
        </is>
      </c>
      <c r="G24" s="10" t="inlineStr">
        <is>
          <t>差額</t>
        </is>
      </c>
      <c r="H24" s="10" t="inlineStr">
        <is>
          <t>開封確認</t>
        </is>
      </c>
    </row>
    <row r="25" ht="19" customHeight="1">
      <c r="A25" s="16" t="n">
        <v>1</v>
      </c>
      <c r="B25" s="20" t="inlineStr">
        <is>
          <t>9/15</t>
        </is>
      </c>
      <c r="C25" s="21" t="inlineStr">
        <is>
          <t>A社(ケータリング)</t>
        </is>
      </c>
      <c r="D25" s="7" t="n"/>
      <c r="E25" s="22" t="n">
        <v>30000</v>
      </c>
      <c r="F25" s="12" t="n">
        <v>30000</v>
      </c>
      <c r="G25" s="13">
        <f>IF(OR(E25="",F25=""),"",F25-E25)</f>
        <v/>
      </c>
      <c r="H25" s="11" t="inlineStr">
        <is>
          <t>✓</t>
        </is>
      </c>
    </row>
    <row r="26" ht="19" customHeight="1">
      <c r="A26" s="16" t="n">
        <v>2</v>
      </c>
      <c r="B26" s="20" t="inlineStr">
        <is>
          <t>10/4</t>
        </is>
      </c>
      <c r="C26" s="21" t="inlineStr">
        <is>
          <t>B社(オードブル)</t>
        </is>
      </c>
      <c r="D26" s="7" t="n"/>
      <c r="E26" s="22" t="n">
        <v>44400</v>
      </c>
      <c r="F26" s="12" t="n">
        <v>44400</v>
      </c>
      <c r="G26" s="13">
        <f>IF(OR(E26="",F26=""),"",F26-E26)</f>
        <v/>
      </c>
      <c r="H26" s="11" t="inlineStr">
        <is>
          <t>✓</t>
        </is>
      </c>
    </row>
    <row r="27" ht="19" customHeight="1">
      <c r="A27" s="16" t="n">
        <v>3</v>
      </c>
      <c r="B27" s="20" t="n"/>
      <c r="C27" s="21" t="n"/>
      <c r="D27" s="7" t="n"/>
      <c r="E27" s="22" t="n"/>
      <c r="F27" s="12" t="n"/>
      <c r="G27" s="13">
        <f>IF(OR(E27="",F27=""),"",F27-E27)</f>
        <v/>
      </c>
      <c r="H27" s="11" t="inlineStr">
        <is>
          <t>□</t>
        </is>
      </c>
    </row>
    <row r="28" ht="19" customHeight="1">
      <c r="A28" s="16" t="n">
        <v>4</v>
      </c>
      <c r="B28" s="20" t="n"/>
      <c r="C28" s="21" t="n"/>
      <c r="D28" s="7" t="n"/>
      <c r="E28" s="22" t="n"/>
      <c r="F28" s="12" t="n"/>
      <c r="G28" s="13">
        <f>IF(OR(E28="",F28=""),"",F28-E28)</f>
        <v/>
      </c>
      <c r="H28" s="11" t="inlineStr">
        <is>
          <t>□</t>
        </is>
      </c>
    </row>
    <row r="29" ht="19" customHeight="1">
      <c r="A29" s="16" t="n">
        <v>5</v>
      </c>
      <c r="B29" s="20" t="n"/>
      <c r="C29" s="21" t="n"/>
      <c r="D29" s="7" t="n"/>
      <c r="E29" s="22" t="n"/>
      <c r="F29" s="12" t="n"/>
      <c r="G29" s="13">
        <f>IF(OR(E29="",F29=""),"",F29-E29)</f>
        <v/>
      </c>
      <c r="H29" s="11" t="inlineStr">
        <is>
          <t>□</t>
        </is>
      </c>
    </row>
    <row r="30" ht="19" customHeight="1">
      <c r="A30" s="16" t="n">
        <v>6</v>
      </c>
      <c r="B30" s="20" t="n"/>
      <c r="C30" s="21" t="n"/>
      <c r="D30" s="7" t="n"/>
      <c r="E30" s="22" t="n"/>
      <c r="F30" s="12" t="n"/>
      <c r="G30" s="13">
        <f>IF(OR(E30="",F30=""),"",F30-E30)</f>
        <v/>
      </c>
      <c r="H30" s="11" t="inlineStr">
        <is>
          <t>□</t>
        </is>
      </c>
    </row>
    <row r="31" ht="19" customHeight="1">
      <c r="A31" s="16" t="n">
        <v>7</v>
      </c>
      <c r="B31" s="20" t="n"/>
      <c r="C31" s="21" t="n"/>
      <c r="D31" s="7" t="n"/>
      <c r="E31" s="22" t="n"/>
      <c r="F31" s="12" t="n"/>
      <c r="G31" s="13">
        <f>IF(OR(E31="",F31=""),"",F31-E31)</f>
        <v/>
      </c>
      <c r="H31" s="11" t="inlineStr">
        <is>
          <t>□</t>
        </is>
      </c>
    </row>
    <row r="32" ht="19" customHeight="1">
      <c r="A32" s="16" t="n">
        <v>8</v>
      </c>
      <c r="B32" s="20" t="n"/>
      <c r="C32" s="21" t="n"/>
      <c r="D32" s="7" t="n"/>
      <c r="E32" s="22" t="n"/>
      <c r="F32" s="12" t="n"/>
      <c r="G32" s="13">
        <f>IF(OR(E32="",F32=""),"",F32-E32)</f>
        <v/>
      </c>
      <c r="H32" s="11" t="inlineStr">
        <is>
          <t>□</t>
        </is>
      </c>
    </row>
    <row r="33">
      <c r="A33" s="5" t="inlineStr">
        <is>
          <t>合計</t>
        </is>
      </c>
      <c r="B33" s="23" t="n"/>
      <c r="C33" s="23" t="n"/>
      <c r="D33" s="7" t="n"/>
      <c r="E33" s="14">
        <f>SUM(E25:E32)</f>
        <v/>
      </c>
      <c r="F33" s="14">
        <f>SUM(F25:F32)</f>
        <v/>
      </c>
      <c r="G33" s="15">
        <f>IF(COUNT(F25:F32)=0,"",F33-E33)</f>
        <v/>
      </c>
      <c r="H33" s="24" t="n"/>
    </row>
    <row r="35" ht="20" customHeight="1">
      <c r="A35" s="9" t="inlineStr">
        <is>
          <t>4. 金庫全体(1+2+3)</t>
        </is>
      </c>
    </row>
    <row r="36" ht="20" customHeight="1">
      <c r="A36" s="25" t="inlineStr">
        <is>
          <t>実際に数えた合計</t>
        </is>
      </c>
      <c r="B36" s="23" t="n"/>
      <c r="C36" s="7" t="n"/>
      <c r="D36" s="14">
        <f>IF(OR(COUNT(B8:B12)=0,H17=""),"",B13+H17+F33)</f>
        <v/>
      </c>
      <c r="E36" s="8" t="inlineStr">
        <is>
          <t>差額が1円でもあれば下に原因を書き、当日中に責任者へ報告。
原因が分かったら、フォームの登録漏れを追加登録する。</t>
        </is>
      </c>
    </row>
    <row r="37" ht="20" customHeight="1">
      <c r="A37" s="25" t="inlineStr">
        <is>
          <t>あるはずの合計(メールの1行目)</t>
        </is>
      </c>
      <c r="B37" s="23" t="n"/>
      <c r="C37" s="7" t="n"/>
      <c r="D37" s="19" t="n">
        <v>214560</v>
      </c>
    </row>
    <row r="38" ht="20" customHeight="1">
      <c r="A38" s="25" t="inlineStr">
        <is>
          <t>差額</t>
        </is>
      </c>
      <c r="B38" s="23" t="n"/>
      <c r="C38" s="7" t="n"/>
      <c r="D38" s="15">
        <f>IF(OR(D36="",D37=""),"",D36-D37)</f>
        <v/>
      </c>
    </row>
    <row r="40" ht="20" customHeight="1">
      <c r="A40" s="9" t="inlineStr">
        <is>
          <t>5. 確認項目(はい/いいえ に○)</t>
        </is>
      </c>
    </row>
    <row r="41" ht="18" customHeight="1">
      <c r="A41" s="26" t="inlineStr">
        <is>
          <t>□ 受け取りから14日を超えた売上封筒はない(あれば次に銀行へ行くとき必ず入金)</t>
        </is>
      </c>
      <c r="B41" s="23" t="n"/>
      <c r="C41" s="23" t="n"/>
      <c r="D41" s="23" t="n"/>
      <c r="E41" s="23" t="n"/>
      <c r="F41" s="7" t="n"/>
      <c r="G41" s="16" t="inlineStr">
        <is>
          <t>はい ・ いいえ</t>
        </is>
      </c>
      <c r="H41" s="7" t="n"/>
    </row>
    <row r="42" ht="18" customHeight="1">
      <c r="A42" s="26" t="inlineStr">
        <is>
          <t>□ すべての封筒に 受取日・相手先・金額・担当者 が書いてある</t>
        </is>
      </c>
      <c r="B42" s="23" t="n"/>
      <c r="C42" s="23" t="n"/>
      <c r="D42" s="23" t="n"/>
      <c r="E42" s="23" t="n"/>
      <c r="F42" s="7" t="n"/>
      <c r="G42" s="16" t="inlineStr">
        <is>
          <t>はい ・ いいえ</t>
        </is>
      </c>
      <c r="H42" s="7" t="n"/>
    </row>
    <row r="43" ht="18" customHeight="1">
      <c r="A43" s="26" t="inlineStr">
        <is>
          <t>□ 今週の支払いのレシートが全部そろっている</t>
        </is>
      </c>
      <c r="B43" s="23" t="n"/>
      <c r="C43" s="23" t="n"/>
      <c r="D43" s="23" t="n"/>
      <c r="E43" s="23" t="n"/>
      <c r="F43" s="7" t="n"/>
      <c r="G43" s="16" t="inlineStr">
        <is>
          <t>はい ・ いいえ</t>
        </is>
      </c>
      <c r="H43" s="7" t="n"/>
    </row>
    <row r="44" ht="18" customHeight="1">
      <c r="A44" s="26" t="inlineStr">
        <is>
          <t>□ 売上封筒のお金を支払いや補充に使っていない</t>
        </is>
      </c>
      <c r="B44" s="23" t="n"/>
      <c r="C44" s="23" t="n"/>
      <c r="D44" s="23" t="n"/>
      <c r="E44" s="23" t="n"/>
      <c r="F44" s="7" t="n"/>
      <c r="G44" s="16" t="inlineStr">
        <is>
          <t>はい ・ いいえ</t>
        </is>
      </c>
      <c r="H44" s="7" t="n"/>
    </row>
    <row r="45" ht="18" customHeight="1">
      <c r="A45" s="26" t="inlineStr">
        <is>
          <t>□ 数えた後、2人で施錠を確認した</t>
        </is>
      </c>
      <c r="B45" s="23" t="n"/>
      <c r="C45" s="23" t="n"/>
      <c r="D45" s="23" t="n"/>
      <c r="E45" s="23" t="n"/>
      <c r="F45" s="7" t="n"/>
      <c r="G45" s="16" t="inlineStr">
        <is>
          <t>はい ・ いいえ</t>
        </is>
      </c>
      <c r="H45" s="7" t="n"/>
    </row>
    <row r="47" ht="40" customHeight="1">
      <c r="A47" s="27" t="inlineStr">
        <is>
          <t>差額の原因
・対応</t>
        </is>
      </c>
      <c r="B47" s="28" t="n"/>
      <c r="C47" s="23" t="n"/>
      <c r="D47" s="23" t="n"/>
      <c r="E47" s="23" t="n"/>
      <c r="F47" s="7" t="n"/>
      <c r="G47" s="10" t="inlineStr">
        <is>
          <t>責任者印</t>
        </is>
      </c>
      <c r="H47" s="24" t="n"/>
    </row>
  </sheetData>
  <mergeCells count="36">
    <mergeCell ref="A41:F41"/>
    <mergeCell ref="G43:H43"/>
    <mergeCell ref="E36:H38"/>
    <mergeCell ref="C24:D24"/>
    <mergeCell ref="A15:H15"/>
    <mergeCell ref="C30:D30"/>
    <mergeCell ref="A37:C37"/>
    <mergeCell ref="B3:C3"/>
    <mergeCell ref="B47:F47"/>
    <mergeCell ref="G42:H42"/>
    <mergeCell ref="A1:H1"/>
    <mergeCell ref="C26:D26"/>
    <mergeCell ref="A6:H6"/>
    <mergeCell ref="C29:D29"/>
    <mergeCell ref="A42:F42"/>
    <mergeCell ref="C25:D25"/>
    <mergeCell ref="E7:H13"/>
    <mergeCell ref="C31:D31"/>
    <mergeCell ref="G3:H3"/>
    <mergeCell ref="A38:C38"/>
    <mergeCell ref="A43:F43"/>
    <mergeCell ref="A44:F44"/>
    <mergeCell ref="C27:D27"/>
    <mergeCell ref="G45:H45"/>
    <mergeCell ref="A23:H23"/>
    <mergeCell ref="A4:H4"/>
    <mergeCell ref="A36:C36"/>
    <mergeCell ref="C32:D32"/>
    <mergeCell ref="A35:H35"/>
    <mergeCell ref="A45:F45"/>
    <mergeCell ref="H17"/>
    <mergeCell ref="G41:H41"/>
    <mergeCell ref="C28:D28"/>
    <mergeCell ref="G44:H44"/>
    <mergeCell ref="A33:D33"/>
    <mergeCell ref="A40:H40"/>
  </mergeCells>
  <printOptions horizontalCentered="1"/>
  <pageMargins left="0.45" right="0.45" top="0.5" bottom="0.5" header="0.5" footer="0.5"/>
  <pageSetup orientation="portrait" paperSize="9" fitToHeight="1" fitToWidth="1"/>
  <headerFooter>
    <oddHeader/>
    <oddFooter>&amp;C&amp;8 記入後は責任者が押印し、ファイルに綴じて1年間保管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2026-09-28T01:29:33Z</dcterms:created>
  <dcterms:modified xsi:type="dcterms:W3CDTF">2026-09-28T01:29:33Z</dcterms:modified>
</cp:coreProperties>
</file>