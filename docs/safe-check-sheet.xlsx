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確認表(印刷用)" sheetId="2" state="visible" r:id="rId2"/>
    <sheet name="記入例" sheetId="3" state="visible" r:id="rId3"/>
  </sheets>
  <definedNames>
    <definedName name="_xlnm.Print_Area" localSheetId="1">'確認表(印刷用)'!$A$1:$H$47</definedName>
    <definedName name="_xlnm.Print_Area" localSheetId="2">'記入例'!$A$1:$H$47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#,##0;[Red]-#,##0;0"/>
    <numFmt numFmtId="166" formatCode="#,##0;-#,##0;&quot;&quot;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595959"/>
      <sz val="8"/>
    </font>
    <font>
      <name val="Arial"/>
      <b val="1"/>
      <color rgb="00000000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0" fillId="0" borderId="5" pivotButton="0" quotePrefix="0" xfId="0"/>
    <xf numFmtId="0" fontId="6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金庫確認表の使い方</t>
        </is>
      </c>
    </row>
    <row r="2">
      <c r="A2" s="2" t="inlineStr"/>
    </row>
    <row r="3">
      <c r="A3" s="3" t="inlineStr">
        <is>
          <t>金庫の中身は3つに分ける</t>
        </is>
      </c>
    </row>
    <row r="4">
      <c r="A4" s="2" t="inlineStr">
        <is>
          <t>・釣銭ポーチ: 10,000円 × 5個。現場に持っていくお釣り。支払いには使わない。</t>
        </is>
      </c>
    </row>
    <row r="5">
      <c r="A5" s="2" t="inlineStr">
        <is>
          <t>・金庫金: 購入の現金払いに使うお金。基準額 100,000円。減った分は銀行から引き出して補充する。</t>
        </is>
      </c>
    </row>
    <row r="6">
      <c r="A6" s="2" t="inlineStr">
        <is>
          <t>・売上封筒: ケータリング・オードブルの現金売上。茶封筒に入れて保管し、全額を銀行へ入金する。</t>
        </is>
      </c>
    </row>
    <row r="7">
      <c r="A7" s="2" t="inlineStr"/>
    </row>
    <row r="8">
      <c r="A8" s="3" t="inlineStr">
        <is>
          <t>毎回(お金を出し入れしたとき)</t>
        </is>
      </c>
    </row>
    <row r="9">
      <c r="A9" s="2" t="inlineStr">
        <is>
          <t>・紙には書かず、スマホのフォーム(大阪GB 現金出納帳)から登録する。処理区分は5つから選ぶ。</t>
        </is>
      </c>
    </row>
    <row r="10">
      <c r="A10" s="2" t="inlineStr">
        <is>
          <t>・売上封筒には、受取日・相手先・金額・担当者を書く。銀行へ行くときは封筒を全部入金する。</t>
        </is>
      </c>
    </row>
    <row r="11">
      <c r="A11" s="2" t="inlineStr"/>
    </row>
    <row r="12">
      <c r="A12" s="3" t="inlineStr">
        <is>
          <t>週1回(月曜)</t>
        </is>
      </c>
    </row>
    <row r="13">
      <c r="A13" s="2" t="inlineStr">
        <is>
          <t>1. 月曜朝に届くメール「【金庫確認】あるはずの金額」の数字を、この表の青い欄に書き写す。</t>
        </is>
      </c>
    </row>
    <row r="14">
      <c r="A14" s="2" t="inlineStr">
        <is>
          <t>2. 2人で、ポーチ・金庫金・売上封筒の順に数え、黄色の欄に書く。</t>
        </is>
      </c>
    </row>
    <row r="15">
      <c r="A15" s="2" t="inlineStr">
        <is>
          <t>3. 差額が1円でもあれば原因を書き、当日中に責任者へ報告。登録漏れならフォームで追加登録する。</t>
        </is>
      </c>
    </row>
    <row r="16">
      <c r="A16" s="2" t="inlineStr">
        <is>
          <t>4. 責任者が押印し、ファイルに綴じて1年間保管する。</t>
        </is>
      </c>
    </row>
    <row r="17">
      <c r="A17" s="2" t="inlineStr"/>
    </row>
    <row r="18">
      <c r="A18" s="3" t="inlineStr">
        <is>
          <t>ルール</t>
        </is>
      </c>
    </row>
    <row r="19">
      <c r="A19" s="2" t="inlineStr">
        <is>
          <t>・数える人は毎週交代する(同じ人に固定しない)。</t>
        </is>
      </c>
    </row>
    <row r="20">
      <c r="A20" s="2" t="inlineStr">
        <is>
          <t>・売上封筒のお金を、支払いや金庫金の補充に使わない。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</t>
        </is>
      </c>
    </row>
    <row r="3" ht="26" customHeight="1">
      <c r="A3" s="5" t="inlineStr">
        <is>
          <t>実施日</t>
        </is>
      </c>
      <c r="B3" s="6" t="n"/>
      <c r="C3" s="7" t="n"/>
      <c r="D3" s="5" t="inlineStr">
        <is>
          <t>数えた人</t>
        </is>
      </c>
      <c r="E3" s="6" t="n"/>
      <c r="F3" s="5" t="inlineStr">
        <is>
          <t>立会い</t>
        </is>
      </c>
      <c r="G3" s="6" t="n"/>
      <c r="H3" s="7" t="n"/>
    </row>
    <row r="4">
      <c r="A4" s="8" t="inlineStr">
        <is>
          <t>青い欄は、月曜朝の「【金庫確認】あるはずの金額」メール(または「現金残高」シート)から書き写してから数える。黄色の欄は数えた結果を書く。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・ポーチのお金を支払いに使わない</t>
        </is>
      </c>
    </row>
    <row r="8" ht="19" customHeight="1">
      <c r="A8" s="11" t="inlineStr">
        <is>
          <t>No.1</t>
        </is>
      </c>
      <c r="B8" s="12" t="n"/>
      <c r="C8" s="13">
        <f>IF(B8="","",B8-10000)</f>
        <v/>
      </c>
      <c r="D8" s="11" t="inlineStr">
        <is>
          <t>□</t>
        </is>
      </c>
    </row>
    <row r="9" ht="19" customHeight="1">
      <c r="A9" s="11" t="inlineStr">
        <is>
          <t>No.2</t>
        </is>
      </c>
      <c r="B9" s="12" t="n"/>
      <c r="C9" s="13">
        <f>IF(B9="","",B9-10000)</f>
        <v/>
      </c>
      <c r="D9" s="11" t="inlineStr">
        <is>
          <t>□</t>
        </is>
      </c>
    </row>
    <row r="10" ht="19" customHeight="1">
      <c r="A10" s="11" t="inlineStr">
        <is>
          <t>No.3</t>
        </is>
      </c>
      <c r="B10" s="12" t="n"/>
      <c r="C10" s="13">
        <f>IF(B10="","",B10-10000)</f>
        <v/>
      </c>
      <c r="D10" s="11" t="inlineStr">
        <is>
          <t>□</t>
        </is>
      </c>
    </row>
    <row r="11" ht="19" customHeight="1">
      <c r="A11" s="11" t="inlineStr">
        <is>
          <t>No.4</t>
        </is>
      </c>
      <c r="B11" s="12" t="n"/>
      <c r="C11" s="13">
        <f>IF(B11="","",B11-10000)</f>
        <v/>
      </c>
      <c r="D11" s="11" t="inlineStr">
        <is>
          <t>□</t>
        </is>
      </c>
    </row>
    <row r="12" ht="19" customHeight="1">
      <c r="A12" s="11" t="inlineStr">
        <is>
          <t>No.5</t>
        </is>
      </c>
      <c r="B12" s="12" t="n"/>
      <c r="C12" s="13">
        <f>IF(B12="","",B12-10000)</f>
        <v/>
      </c>
      <c r="D12" s="11" t="inlineStr">
        <is>
          <t>□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/>
      <c r="C17" s="18">
        <f>10000*B17</f>
        <v/>
      </c>
      <c r="D17" s="16" t="inlineStr">
        <is>
          <t>50円玉</t>
        </is>
      </c>
      <c r="E17" s="17" t="n"/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/>
      <c r="C18" s="18">
        <f>5000*B18</f>
        <v/>
      </c>
      <c r="D18" s="16" t="inlineStr">
        <is>
          <t>10円玉</t>
        </is>
      </c>
      <c r="E18" s="17" t="n"/>
      <c r="F18" s="18">
        <f>10*E18</f>
        <v/>
      </c>
      <c r="G18" s="10" t="inlineStr">
        <is>
          <t>帳簿の金額</t>
        </is>
      </c>
      <c r="H18" s="19" t="n"/>
    </row>
    <row r="19" ht="19" customHeight="1">
      <c r="A19" s="16" t="inlineStr">
        <is>
          <t>1,000円札</t>
        </is>
      </c>
      <c r="B19" s="17" t="n"/>
      <c r="C19" s="18">
        <f>1000*B19</f>
        <v/>
      </c>
      <c r="D19" s="16" t="inlineStr">
        <is>
          <t>5円玉</t>
        </is>
      </c>
      <c r="E19" s="17" t="n"/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/>
      <c r="C20" s="18">
        <f>500*B20</f>
        <v/>
      </c>
      <c r="D20" s="16" t="inlineStr">
        <is>
          <t>1円玉</t>
        </is>
      </c>
      <c r="E20" s="17" t="n"/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/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No.</t>
        </is>
      </c>
      <c r="B24" s="10" t="inlineStr">
        <is>
          <t>受取日</t>
        </is>
      </c>
      <c r="C24" s="10" t="inlineStr">
        <is>
          <t>相手先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16" t="n">
        <v>1</v>
      </c>
      <c r="B25" s="20" t="n"/>
      <c r="C25" s="21" t="n"/>
      <c r="D25" s="7" t="n"/>
      <c r="E25" s="22" t="n"/>
      <c r="F25" s="12" t="n"/>
      <c r="G25" s="13">
        <f>IF(OR(E25="",F25=""),"",F25-E25)</f>
        <v/>
      </c>
      <c r="H25" s="11" t="inlineStr">
        <is>
          <t>□</t>
        </is>
      </c>
    </row>
    <row r="26" ht="19" customHeight="1">
      <c r="A26" s="16" t="n">
        <v>2</v>
      </c>
      <c r="B26" s="20" t="n"/>
      <c r="C26" s="21" t="n"/>
      <c r="D26" s="7" t="n"/>
      <c r="E26" s="22" t="n"/>
      <c r="F26" s="12" t="n"/>
      <c r="G26" s="13">
        <f>IF(OR(E26="",F26=""),"",F26-E26)</f>
        <v/>
      </c>
      <c r="H26" s="11" t="inlineStr">
        <is>
          <t>□</t>
        </is>
      </c>
    </row>
    <row r="27" ht="19" customHeight="1">
      <c r="A27" s="16" t="n">
        <v>3</v>
      </c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16" t="n">
        <v>4</v>
      </c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16" t="n">
        <v>5</v>
      </c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16" t="n">
        <v>6</v>
      </c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16" t="n">
        <v>7</v>
      </c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16" t="n">
        <v>8</v>
      </c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あるはずの合計(メールの1行目)</t>
        </is>
      </c>
      <c r="B37" s="23" t="n"/>
      <c r="C37" s="7" t="n"/>
      <c r="D37" s="19" t="n"/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受取日・相手先・金額・担当者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売上封筒のお金を支払いや補充に使っていない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  ※記入例</t>
        </is>
      </c>
    </row>
    <row r="3" ht="26" customHeight="1">
      <c r="A3" s="5" t="inlineStr">
        <is>
          <t>実施日</t>
        </is>
      </c>
      <c r="B3" s="6" t="inlineStr">
        <is>
          <t>2026/10/05(月)</t>
        </is>
      </c>
      <c r="C3" s="7" t="n"/>
      <c r="D3" s="5" t="inlineStr">
        <is>
          <t>数えた人</t>
        </is>
      </c>
      <c r="E3" s="6" t="inlineStr">
        <is>
          <t>山田</t>
        </is>
      </c>
      <c r="F3" s="5" t="inlineStr">
        <is>
          <t>立会い</t>
        </is>
      </c>
      <c r="G3" s="6" t="inlineStr">
        <is>
          <t>佐藤</t>
        </is>
      </c>
      <c r="H3" s="7" t="n"/>
    </row>
    <row r="4">
      <c r="A4" s="8" t="inlineStr">
        <is>
          <t>青い欄は、月曜朝の「【金庫確認】あるはずの金額」メール(または「現金残高」シート)から書き写してから数える。黄色の欄は数えた結果を書く。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・ポーチのお金を支払いに使わない</t>
        </is>
      </c>
    </row>
    <row r="8" ht="19" customHeight="1">
      <c r="A8" s="11" t="inlineStr">
        <is>
          <t>No.1</t>
        </is>
      </c>
      <c r="B8" s="12" t="n">
        <v>10000</v>
      </c>
      <c r="C8" s="13">
        <f>IF(B8="","",B8-10000)</f>
        <v/>
      </c>
      <c r="D8" s="11" t="inlineStr">
        <is>
          <t>✓</t>
        </is>
      </c>
    </row>
    <row r="9" ht="19" customHeight="1">
      <c r="A9" s="11" t="inlineStr">
        <is>
          <t>No.2</t>
        </is>
      </c>
      <c r="B9" s="12" t="n">
        <v>10000</v>
      </c>
      <c r="C9" s="13">
        <f>IF(B9="","",B9-10000)</f>
        <v/>
      </c>
      <c r="D9" s="11" t="inlineStr">
        <is>
          <t>✓</t>
        </is>
      </c>
    </row>
    <row r="10" ht="19" customHeight="1">
      <c r="A10" s="11" t="inlineStr">
        <is>
          <t>No.3</t>
        </is>
      </c>
      <c r="B10" s="12" t="n">
        <v>10000</v>
      </c>
      <c r="C10" s="13">
        <f>IF(B10="","",B10-10000)</f>
        <v/>
      </c>
      <c r="D10" s="11" t="inlineStr">
        <is>
          <t>✓</t>
        </is>
      </c>
    </row>
    <row r="11" ht="19" customHeight="1">
      <c r="A11" s="11" t="inlineStr">
        <is>
          <t>No.4</t>
        </is>
      </c>
      <c r="B11" s="12" t="n">
        <v>10000</v>
      </c>
      <c r="C11" s="13">
        <f>IF(B11="","",B11-10000)</f>
        <v/>
      </c>
      <c r="D11" s="11" t="inlineStr">
        <is>
          <t>✓</t>
        </is>
      </c>
    </row>
    <row r="12" ht="19" customHeight="1">
      <c r="A12" s="11" t="inlineStr">
        <is>
          <t>No.5</t>
        </is>
      </c>
      <c r="B12" s="12" t="n">
        <v>10000</v>
      </c>
      <c r="C12" s="13">
        <f>IF(B12="","",B12-10000)</f>
        <v/>
      </c>
      <c r="D12" s="11" t="inlineStr">
        <is>
          <t>✓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>
        <v>7</v>
      </c>
      <c r="C17" s="18">
        <f>10000*B17</f>
        <v/>
      </c>
      <c r="D17" s="16" t="inlineStr">
        <is>
          <t>50円玉</t>
        </is>
      </c>
      <c r="E17" s="17" t="n">
        <v>2</v>
      </c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>
        <v>2</v>
      </c>
      <c r="C18" s="18">
        <f>5000*B18</f>
        <v/>
      </c>
      <c r="D18" s="16" t="inlineStr">
        <is>
          <t>10円玉</t>
        </is>
      </c>
      <c r="E18" s="17" t="n">
        <v>5</v>
      </c>
      <c r="F18" s="18">
        <f>10*E18</f>
        <v/>
      </c>
      <c r="G18" s="10" t="inlineStr">
        <is>
          <t>帳簿の金額</t>
        </is>
      </c>
      <c r="H18" s="19" t="n">
        <v>90160</v>
      </c>
    </row>
    <row r="19" ht="19" customHeight="1">
      <c r="A19" s="16" t="inlineStr">
        <is>
          <t>1,000円札</t>
        </is>
      </c>
      <c r="B19" s="17" t="n">
        <v>8</v>
      </c>
      <c r="C19" s="18">
        <f>1000*B19</f>
        <v/>
      </c>
      <c r="D19" s="16" t="inlineStr">
        <is>
          <t>5円玉</t>
        </is>
      </c>
      <c r="E19" s="17" t="n">
        <v>2</v>
      </c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>
        <v>2</v>
      </c>
      <c r="C20" s="18">
        <f>500*B20</f>
        <v/>
      </c>
      <c r="D20" s="16" t="inlineStr">
        <is>
          <t>1円玉</t>
        </is>
      </c>
      <c r="E20" s="17" t="n">
        <v>0</v>
      </c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>
        <v>10</v>
      </c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No.</t>
        </is>
      </c>
      <c r="B24" s="10" t="inlineStr">
        <is>
          <t>受取日</t>
        </is>
      </c>
      <c r="C24" s="10" t="inlineStr">
        <is>
          <t>相手先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16" t="n">
        <v>1</v>
      </c>
      <c r="B25" s="20" t="inlineStr">
        <is>
          <t>9/15</t>
        </is>
      </c>
      <c r="C25" s="21" t="inlineStr">
        <is>
          <t>A社(ケータリング)</t>
        </is>
      </c>
      <c r="D25" s="7" t="n"/>
      <c r="E25" s="22" t="n">
        <v>30000</v>
      </c>
      <c r="F25" s="12" t="n">
        <v>30000</v>
      </c>
      <c r="G25" s="13">
        <f>IF(OR(E25="",F25=""),"",F25-E25)</f>
        <v/>
      </c>
      <c r="H25" s="11" t="inlineStr">
        <is>
          <t>✓</t>
        </is>
      </c>
    </row>
    <row r="26" ht="19" customHeight="1">
      <c r="A26" s="16" t="n">
        <v>2</v>
      </c>
      <c r="B26" s="20" t="inlineStr">
        <is>
          <t>10/4</t>
        </is>
      </c>
      <c r="C26" s="21" t="inlineStr">
        <is>
          <t>B社(オードブル)</t>
        </is>
      </c>
      <c r="D26" s="7" t="n"/>
      <c r="E26" s="22" t="n">
        <v>44400</v>
      </c>
      <c r="F26" s="12" t="n">
        <v>44400</v>
      </c>
      <c r="G26" s="13">
        <f>IF(OR(E26="",F26=""),"",F26-E26)</f>
        <v/>
      </c>
      <c r="H26" s="11" t="inlineStr">
        <is>
          <t>✓</t>
        </is>
      </c>
    </row>
    <row r="27" ht="19" customHeight="1">
      <c r="A27" s="16" t="n">
        <v>3</v>
      </c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16" t="n">
        <v>4</v>
      </c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16" t="n">
        <v>5</v>
      </c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16" t="n">
        <v>6</v>
      </c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16" t="n">
        <v>7</v>
      </c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16" t="n">
        <v>8</v>
      </c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あるはずの合計(メールの1行目)</t>
        </is>
      </c>
      <c r="B37" s="23" t="n"/>
      <c r="C37" s="7" t="n"/>
      <c r="D37" s="19" t="n">
        <v>214560</v>
      </c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受取日・相手先・金額・担当者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売上封筒のお金を支払いや補充に使っていない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2026-09-27T09:57:28Z</dcterms:created>
  <dcterms:modified xsi:type="dcterms:W3CDTF">2026-09-27T09:57:28Z</dcterms:modified>
</cp:coreProperties>
</file>